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shive\Documents\UCB\Projects\In Progress\SESE Fuels Gradient\r code\study design\"/>
    </mc:Choice>
  </mc:AlternateContent>
  <xr:revisionPtr revIDLastSave="0" documentId="13_ncr:1_{526F216D-BB8C-4874-A8F8-A44C195B0913}" xr6:coauthVersionLast="47" xr6:coauthVersionMax="47" xr10:uidLastSave="{00000000-0000-0000-0000-000000000000}"/>
  <bookViews>
    <workbookView xWindow="28680" yWindow="-120" windowWidth="29040" windowHeight="16440" activeTab="3" xr2:uid="{00000000-000D-0000-FFFF-FFFF00000000}"/>
  </bookViews>
  <sheets>
    <sheet name="studydesign" sheetId="2" r:id="rId1"/>
    <sheet name="propertydetails" sheetId="1" r:id="rId2"/>
    <sheet name="Sheet2" sheetId="4" r:id="rId3"/>
    <sheet name="Quirks by year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6" i="5" l="1"/>
  <c r="V8" i="5"/>
  <c r="V10" i="5"/>
  <c r="V12" i="5"/>
  <c r="V14" i="5"/>
  <c r="V16" i="5"/>
  <c r="V18" i="5"/>
  <c r="V4" i="5"/>
  <c r="V20" i="5" l="1"/>
</calcChain>
</file>

<file path=xl/sharedStrings.xml><?xml version="1.0" encoding="utf-8"?>
<sst xmlns="http://schemas.openxmlformats.org/spreadsheetml/2006/main" count="589" uniqueCount="218">
  <si>
    <t>Year</t>
  </si>
  <si>
    <t>Property</t>
  </si>
  <si>
    <t>Severity_1</t>
  </si>
  <si>
    <t>Severity_2</t>
  </si>
  <si>
    <t>Severity_3</t>
  </si>
  <si>
    <t>Severity_4</t>
  </si>
  <si>
    <t>Agency</t>
  </si>
  <si>
    <t>AccessType</t>
  </si>
  <si>
    <t>Humboldt Redwoods State Park</t>
  </si>
  <si>
    <t>California Department of Parks and Recreation</t>
  </si>
  <si>
    <t>Open Access</t>
  </si>
  <si>
    <t>Adler Ranch</t>
  </si>
  <si>
    <t>Esselen Tribe of Monterey County</t>
  </si>
  <si>
    <t>No Public Access</t>
  </si>
  <si>
    <t>Andrew Molera State Park</t>
  </si>
  <si>
    <t>BLM</t>
  </si>
  <si>
    <t>United States Bureau of Land Management</t>
  </si>
  <si>
    <t>Big River Salmon Creek</t>
  </si>
  <si>
    <t>The Conservation Fund - California</t>
  </si>
  <si>
    <t>Big Sur Land Trust Conservation Easement</t>
  </si>
  <si>
    <t>Big Sur Land Trust</t>
  </si>
  <si>
    <t>easement</t>
  </si>
  <si>
    <t>Conservation Easement</t>
  </si>
  <si>
    <t>Gelbart</t>
  </si>
  <si>
    <t>Restricted Access</t>
  </si>
  <si>
    <t>Hodson</t>
  </si>
  <si>
    <t>Save the Redwoods League</t>
  </si>
  <si>
    <t>Jackson Demonstration State Forest</t>
  </si>
  <si>
    <t>California Department of Forestry and Fire Protection</t>
  </si>
  <si>
    <t>Julia Pfeiffer Burns State Park</t>
  </si>
  <si>
    <t>Landels-Hill Big Creek Reserve</t>
  </si>
  <si>
    <t>University of California</t>
  </si>
  <si>
    <t>Limekiln State Park</t>
  </si>
  <si>
    <t>Los Padres National Forest</t>
  </si>
  <si>
    <t>United States Forest Service</t>
  </si>
  <si>
    <t>Montgomery Woods State Natural Reserve</t>
  </si>
  <si>
    <t>Navarro River Redwoods State Park</t>
  </si>
  <si>
    <t>Navarro River aka Louisiana Pacific CE</t>
  </si>
  <si>
    <t>Norman</t>
  </si>
  <si>
    <t>Owings</t>
  </si>
  <si>
    <t>Pfeiffer Big Sur State Park</t>
  </si>
  <si>
    <t>Rancho Calera</t>
  </si>
  <si>
    <t>Unnamed site - Watsonville, City of</t>
  </si>
  <si>
    <t>Watsonville, City of</t>
  </si>
  <si>
    <t>Usal Forest Conservation Easement</t>
  </si>
  <si>
    <t>Usal Redwood Forest</t>
  </si>
  <si>
    <t>Redwood Forest Foundation</t>
  </si>
  <si>
    <t>Veren Park</t>
  </si>
  <si>
    <t>Monterey, County of</t>
  </si>
  <si>
    <t>Big Basin Redwoods State Park</t>
  </si>
  <si>
    <t>Cotoni-Coast Dairies</t>
  </si>
  <si>
    <t>Filice Ranch</t>
  </si>
  <si>
    <t>Peninsula Open Space Trust</t>
  </si>
  <si>
    <t>San Vicente Redwoods (CEMEX)</t>
  </si>
  <si>
    <t>San Vicente Redwoods (Cemex) Forest Conservation Easement</t>
  </si>
  <si>
    <t>Swanton Pacific Ranch</t>
  </si>
  <si>
    <t>California State University</t>
  </si>
  <si>
    <t>Angelo Coast Range Reserve</t>
  </si>
  <si>
    <t>North Coast Range Angelo CE</t>
  </si>
  <si>
    <t>The Nature Conservancy</t>
  </si>
  <si>
    <t>Northern California Coast Range Preserve Macrosite Easement</t>
  </si>
  <si>
    <t>Brazil Ranch</t>
  </si>
  <si>
    <t>County Open Space</t>
  </si>
  <si>
    <t>Fish Ranch CE</t>
  </si>
  <si>
    <t>Garrapata State Park</t>
  </si>
  <si>
    <t>Glen Deven Ranch</t>
  </si>
  <si>
    <t>Joshua Creek Canyon Ecological Reserve</t>
  </si>
  <si>
    <t>California Department of Fish and Wildlife</t>
  </si>
  <si>
    <t>Mill Creek Redwood Preserve</t>
  </si>
  <si>
    <t>Monterey Peninsula Regional Park District</t>
  </si>
  <si>
    <t>Mitteldorf Preserve</t>
  </si>
  <si>
    <t>Nantz</t>
  </si>
  <si>
    <t>Palo Corona Regional Park</t>
  </si>
  <si>
    <t>Santa Lucia Conservancy Easement</t>
  </si>
  <si>
    <t>Santa Lucia Conservancy</t>
  </si>
  <si>
    <t>Santa Lucia Preserve</t>
  </si>
  <si>
    <t>Upper Uvas Creek Open Space Preserve</t>
  </si>
  <si>
    <t>Santa Clara Valley Open Space Authority</t>
  </si>
  <si>
    <t>Archer Taylor Preserve</t>
  </si>
  <si>
    <t>Land Trust of Napa County</t>
  </si>
  <si>
    <t>Atwater</t>
  </si>
  <si>
    <t>Coppola</t>
  </si>
  <si>
    <t>Hood Mountain Regional Park &amp; Open Space Preserve</t>
  </si>
  <si>
    <t>Sonoma County Agricultural Preservation and Open Space District</t>
  </si>
  <si>
    <t>Hood Mountain Regional Park and Open Space Preserve</t>
  </si>
  <si>
    <t>Sonoma County Regional Parks Dept., County of</t>
  </si>
  <si>
    <t>Long Meadow Ranch upper</t>
  </si>
  <si>
    <t>Mark West Creek Regional Park &amp; Open Space Preserve</t>
  </si>
  <si>
    <t>Mayacamas Preserve</t>
  </si>
  <si>
    <t>Napa County Regional Park and Open Space District</t>
  </si>
  <si>
    <t>Mertes (Quietwater)</t>
  </si>
  <si>
    <t>Pepperwood Ranch Natural Preserve</t>
  </si>
  <si>
    <t>Pepperwood Foundation</t>
  </si>
  <si>
    <t>Shiloh Ranch Regional Park</t>
  </si>
  <si>
    <t>Sugarloaf Ridge State Park</t>
  </si>
  <si>
    <t>Trione-Annadel State Park</t>
  </si>
  <si>
    <t>Turkovich</t>
  </si>
  <si>
    <t>Armstrong Redwoods State Natural Reserve</t>
  </si>
  <si>
    <t>Austin Creek State Recreation Area</t>
  </si>
  <si>
    <t>Stewards of the Coast and Redwoods</t>
  </si>
  <si>
    <t>Ayers</t>
  </si>
  <si>
    <t>Año Nuevo State Park</t>
  </si>
  <si>
    <t>Big Basin Cemex</t>
  </si>
  <si>
    <t>Living Landscape Initiative Partners</t>
  </si>
  <si>
    <t>Sempervirens Fund</t>
  </si>
  <si>
    <t>Big Creek Reserve</t>
  </si>
  <si>
    <t>Bigler</t>
  </si>
  <si>
    <t>Bonny Doon Ecological Reserve</t>
  </si>
  <si>
    <t>Bothe-Napa Valley State Park</t>
  </si>
  <si>
    <t>Butano Creek</t>
  </si>
  <si>
    <t>Butano Creek - Sinnott Conservation Easement</t>
  </si>
  <si>
    <t>Butano Crest West</t>
  </si>
  <si>
    <t>Butano Falls</t>
  </si>
  <si>
    <t>Pacific Forest Trust</t>
  </si>
  <si>
    <t>Butano State Park</t>
  </si>
  <si>
    <t>Camp Hammer</t>
  </si>
  <si>
    <t>Carlsen Property</t>
  </si>
  <si>
    <t>Cascade Creek</t>
  </si>
  <si>
    <t>City Open Space</t>
  </si>
  <si>
    <t>Santa Cruz, City of</t>
  </si>
  <si>
    <t>Cobb/Mahoney</t>
  </si>
  <si>
    <t>Cooks Flat</t>
  </si>
  <si>
    <t>Cooks Flat / Ritchie Creek</t>
  </si>
  <si>
    <t>County of Santa Cruz Easement</t>
  </si>
  <si>
    <t>Santa Cruz, County of</t>
  </si>
  <si>
    <t>Fall Creek</t>
  </si>
  <si>
    <t>Fort Ross State Historic Park</t>
  </si>
  <si>
    <t>Gazos Creek Redwoods</t>
  </si>
  <si>
    <t>Gray Creek - Gustafsson</t>
  </si>
  <si>
    <t>Gray Creek - Magers</t>
  </si>
  <si>
    <t>Griffith</t>
  </si>
  <si>
    <t>Henry Cowell Redwoods State Park</t>
  </si>
  <si>
    <t>Holmes</t>
  </si>
  <si>
    <t>Iron Mine Stream</t>
  </si>
  <si>
    <t>Katz</t>
  </si>
  <si>
    <t>Krvavica</t>
  </si>
  <si>
    <t>Lachenbruch</t>
  </si>
  <si>
    <t>Lake Sonoma Recreation Area</t>
  </si>
  <si>
    <t>United States Army Corps of Engineers</t>
  </si>
  <si>
    <t>Malosky</t>
  </si>
  <si>
    <t>McCormick Ranch</t>
  </si>
  <si>
    <t>Michelson</t>
  </si>
  <si>
    <t>Minton</t>
  </si>
  <si>
    <t>Pescadero Creek Park</t>
  </si>
  <si>
    <t>San Mateo County Parks and Recreation Dept., County of</t>
  </si>
  <si>
    <t>Peterson/French</t>
  </si>
  <si>
    <t>Portola Redwoods State Park</t>
  </si>
  <si>
    <t>Pryor Ranch</t>
  </si>
  <si>
    <t>Ranchero Mark West</t>
  </si>
  <si>
    <t>Redwood Meadows Ranch</t>
  </si>
  <si>
    <t>Riddell Preserve</t>
  </si>
  <si>
    <t>Ritchie Creek</t>
  </si>
  <si>
    <t>Rock Fall Woods</t>
  </si>
  <si>
    <t>Sonoma Land Trust</t>
  </si>
  <si>
    <t>Rose</t>
  </si>
  <si>
    <t>Saddle Mountain Open Space Preserve</t>
  </si>
  <si>
    <t>San Lorenzo Valley Water District</t>
  </si>
  <si>
    <t>Santa Rosa Creek Headwaters</t>
  </si>
  <si>
    <t>Santos</t>
  </si>
  <si>
    <t>Sinnott</t>
  </si>
  <si>
    <t>Skylark Ranch</t>
  </si>
  <si>
    <t>Sonoma Coast Redwoods</t>
  </si>
  <si>
    <t>Spring Mountain</t>
  </si>
  <si>
    <t>Thelma Doelger Wildlife Preserve and Sanctuary</t>
  </si>
  <si>
    <t>Humane Society Wildlife Land Trust</t>
  </si>
  <si>
    <t>Welden</t>
  </si>
  <si>
    <t>Wilder Ranch State Park</t>
  </si>
  <si>
    <t>York Creek-Spring Mountain Rd</t>
  </si>
  <si>
    <t>Saint Helena, City of</t>
  </si>
  <si>
    <t>FireYear</t>
  </si>
  <si>
    <t>Hectares_1Severity</t>
  </si>
  <si>
    <t>Hectares_2Severity</t>
  </si>
  <si>
    <t>Hectares_3Severity</t>
  </si>
  <si>
    <t>Hectares_4Severity</t>
  </si>
  <si>
    <t>Total_Hectares</t>
  </si>
  <si>
    <t>Easement</t>
  </si>
  <si>
    <t>new.access.type</t>
  </si>
  <si>
    <t>open</t>
  </si>
  <si>
    <t>misc</t>
  </si>
  <si>
    <t>no</t>
  </si>
  <si>
    <t>yes</t>
  </si>
  <si>
    <t>flagged</t>
  </si>
  <si>
    <t>Und. Change</t>
  </si>
  <si>
    <t>Und. Change total</t>
  </si>
  <si>
    <t>Und. Change %</t>
  </si>
  <si>
    <t>Low</t>
  </si>
  <si>
    <t>Low total</t>
  </si>
  <si>
    <t>Low %</t>
  </si>
  <si>
    <t>Moderate</t>
  </si>
  <si>
    <t>Moderate total</t>
  </si>
  <si>
    <t>Moderate %</t>
  </si>
  <si>
    <t xml:space="preserve">High </t>
  </si>
  <si>
    <t>High total</t>
  </si>
  <si>
    <t>High %</t>
  </si>
  <si>
    <t>Notes</t>
  </si>
  <si>
    <t>2003 - yes but all up north?</t>
  </si>
  <si>
    <t>2008 - good, mostly central</t>
  </si>
  <si>
    <t>2009 - mod and high are smaller and mostly misc access</t>
  </si>
  <si>
    <t>2014 - no moderate or high</t>
  </si>
  <si>
    <t>2017 - overal a lot of restricted here, and overall low acreages, could used with 2016</t>
  </si>
  <si>
    <t>2016 - limited high which is also mostly on restricted</t>
  </si>
  <si>
    <t>2019 - only und change, don't use</t>
  </si>
  <si>
    <t>2020 - tons of all</t>
  </si>
  <si>
    <t>could get access, but much of the area was probably treated</t>
  </si>
  <si>
    <t>may be able to get access</t>
  </si>
  <si>
    <t>northern</t>
  </si>
  <si>
    <t xml:space="preserve">central </t>
  </si>
  <si>
    <t>southern</t>
  </si>
  <si>
    <t>low</t>
  </si>
  <si>
    <t>moderate</t>
  </si>
  <si>
    <t>high</t>
  </si>
  <si>
    <t>acres</t>
  </si>
  <si>
    <t>poss plots</t>
  </si>
  <si>
    <t>control plots</t>
  </si>
  <si>
    <t>total plots</t>
  </si>
  <si>
    <t>Control</t>
  </si>
  <si>
    <t>Total total</t>
  </si>
  <si>
    <t>access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</si>
</sst>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5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Fill="1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4" xfId="0" applyFill="1" applyBorder="1"/>
    <xf numFmtId="0" fontId="0" fillId="0" borderId="5" xfId="0" applyFill="1" applyBorder="1"/>
    <xf numFmtId="0" fontId="0" fillId="0" borderId="6" xfId="0" applyFill="1" applyBorder="1"/>
    <xf numFmtId="0" fontId="0" fillId="0" borderId="1" xfId="0" applyFill="1" applyBorder="1"/>
    <xf numFmtId="0" fontId="0" fillId="0" borderId="2" xfId="0" applyFill="1" applyBorder="1"/>
    <xf numFmtId="0" fontId="0" fillId="0" borderId="3" xfId="0" applyFill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applyFill="1" applyBorder="1"/>
    <xf numFmtId="0" fontId="1" fillId="0" borderId="0" xfId="0" applyFont="1" applyBorder="1"/>
    <xf numFmtId="0" fontId="0" fillId="0" borderId="0" xfId="0" applyBorder="1"/>
    <xf numFmtId="0" fontId="0" fillId="0" borderId="10" xfId="0" applyBorder="1"/>
    <xf numFmtId="0" fontId="2" fillId="0" borderId="7" xfId="0" applyFont="1" applyBorder="1"/>
    <xf numFmtId="0" fontId="2" fillId="0" borderId="1" xfId="0" applyFont="1" applyBorder="1"/>
    <xf numFmtId="0" fontId="2" fillId="0" borderId="4" xfId="0" applyFont="1" applyBorder="1"/>
    <xf numFmtId="0" fontId="2" fillId="0" borderId="4" xfId="0" applyFont="1" applyFill="1" applyBorder="1"/>
    <xf numFmtId="0" fontId="2" fillId="0" borderId="1" xfId="0" applyFont="1" applyFill="1" applyBorder="1"/>
    <xf numFmtId="0" fontId="0" fillId="2" borderId="0" xfId="0" applyFill="1"/>
    <xf numFmtId="0" fontId="2" fillId="2" borderId="0" xfId="0" applyFont="1" applyFill="1"/>
    <xf numFmtId="0" fontId="1" fillId="0" borderId="1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0" fillId="0" borderId="11" xfId="0" applyBorder="1"/>
    <xf numFmtId="0" fontId="1" fillId="0" borderId="10" xfId="0" applyFont="1" applyBorder="1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/>
    </xf>
    <xf numFmtId="0" fontId="1" fillId="0" borderId="11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69C3D-7E5E-4AEB-9E93-604895E419D8}">
  <dimension ref="A1:G9"/>
  <sheetViews>
    <sheetView workbookViewId="0">
      <selection activeCell="E1" sqref="E1:E1048576"/>
    </sheetView>
  </sheetViews>
  <sheetFormatPr defaultRowHeight="15" x14ac:dyDescent="0.25"/>
  <cols>
    <col min="2" max="2" width="17.42578125" customWidth="1"/>
    <col min="3" max="3" width="18.7109375" customWidth="1"/>
    <col min="4" max="4" width="18.85546875" customWidth="1"/>
    <col min="5" max="5" width="19.42578125" customWidth="1"/>
    <col min="6" max="6" width="15.140625" customWidth="1"/>
  </cols>
  <sheetData>
    <row r="1" spans="1:7" x14ac:dyDescent="0.25">
      <c r="A1" s="1" t="s">
        <v>0</v>
      </c>
      <c r="B1" s="1" t="s">
        <v>170</v>
      </c>
      <c r="C1" s="1" t="s">
        <v>171</v>
      </c>
      <c r="D1" s="1" t="s">
        <v>172</v>
      </c>
      <c r="E1" s="1" t="s">
        <v>173</v>
      </c>
      <c r="F1" s="1" t="s">
        <v>174</v>
      </c>
      <c r="G1" s="1"/>
    </row>
    <row r="2" spans="1:7" x14ac:dyDescent="0.25">
      <c r="A2">
        <v>2003</v>
      </c>
      <c r="B2">
        <v>1627.65</v>
      </c>
      <c r="C2">
        <v>1201.77</v>
      </c>
      <c r="D2">
        <v>185.4</v>
      </c>
      <c r="E2">
        <v>86.849999999900007</v>
      </c>
      <c r="F2">
        <v>3101.6699999999</v>
      </c>
    </row>
    <row r="3" spans="1:7" x14ac:dyDescent="0.25">
      <c r="A3">
        <v>2008</v>
      </c>
      <c r="B3">
        <v>6816.15</v>
      </c>
      <c r="C3">
        <v>8667</v>
      </c>
      <c r="D3">
        <v>2930.94</v>
      </c>
      <c r="E3">
        <v>737.73</v>
      </c>
      <c r="F3">
        <v>19151.82</v>
      </c>
    </row>
    <row r="4" spans="1:7" x14ac:dyDescent="0.25">
      <c r="A4">
        <v>2009</v>
      </c>
      <c r="B4">
        <v>1253.52</v>
      </c>
      <c r="C4">
        <v>632.79</v>
      </c>
      <c r="D4">
        <v>217.98</v>
      </c>
      <c r="E4">
        <v>154.08000000000001</v>
      </c>
      <c r="F4">
        <v>2258.37</v>
      </c>
    </row>
    <row r="5" spans="1:7" x14ac:dyDescent="0.25">
      <c r="A5">
        <v>2014</v>
      </c>
      <c r="B5">
        <v>122.4</v>
      </c>
      <c r="C5">
        <v>292.14</v>
      </c>
      <c r="D5">
        <v>0</v>
      </c>
      <c r="E5">
        <v>0</v>
      </c>
      <c r="F5">
        <v>414.54</v>
      </c>
    </row>
    <row r="6" spans="1:7" x14ac:dyDescent="0.25">
      <c r="A6">
        <v>2016</v>
      </c>
      <c r="B6">
        <v>918.81</v>
      </c>
      <c r="C6">
        <v>3969.36</v>
      </c>
      <c r="D6">
        <v>916.47000000100002</v>
      </c>
      <c r="E6">
        <v>147.06</v>
      </c>
      <c r="F6">
        <v>5951.7000000010003</v>
      </c>
    </row>
    <row r="7" spans="1:7" x14ac:dyDescent="0.25">
      <c r="A7">
        <v>2017</v>
      </c>
      <c r="B7">
        <v>622.16999999999996</v>
      </c>
      <c r="C7">
        <v>738.9</v>
      </c>
      <c r="D7">
        <v>336.15</v>
      </c>
      <c r="E7">
        <v>291.14999999999998</v>
      </c>
      <c r="F7">
        <v>1988.37</v>
      </c>
    </row>
    <row r="8" spans="1:7" x14ac:dyDescent="0.25">
      <c r="A8">
        <v>2019</v>
      </c>
      <c r="B8">
        <v>154.35</v>
      </c>
      <c r="C8">
        <v>0</v>
      </c>
      <c r="D8">
        <v>0</v>
      </c>
      <c r="E8">
        <v>0</v>
      </c>
      <c r="F8">
        <v>154.35</v>
      </c>
    </row>
    <row r="9" spans="1:7" x14ac:dyDescent="0.25">
      <c r="A9">
        <v>2020</v>
      </c>
      <c r="B9">
        <v>3019.5</v>
      </c>
      <c r="C9">
        <v>11553.03</v>
      </c>
      <c r="D9">
        <v>8972.82</v>
      </c>
      <c r="E9">
        <v>10749.42</v>
      </c>
      <c r="F9">
        <v>34294.769999999997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5"/>
  <sheetViews>
    <sheetView topLeftCell="A7" workbookViewId="0">
      <selection activeCell="A30" sqref="A30:G31"/>
    </sheetView>
  </sheetViews>
  <sheetFormatPr defaultRowHeight="15" x14ac:dyDescent="0.25"/>
  <cols>
    <col min="2" max="2" width="38.85546875" customWidth="1"/>
    <col min="3" max="3" width="14.85546875" customWidth="1"/>
    <col min="4" max="4" width="14.28515625" customWidth="1"/>
    <col min="5" max="5" width="15.5703125" customWidth="1"/>
    <col min="6" max="6" width="17" customWidth="1"/>
    <col min="7" max="7" width="59.140625" customWidth="1"/>
    <col min="8" max="8" width="33.5703125" customWidth="1"/>
  </cols>
  <sheetData>
    <row r="1" spans="1:8" s="1" customFormat="1" x14ac:dyDescent="0.25">
      <c r="A1" s="1" t="s">
        <v>169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2003</v>
      </c>
      <c r="B2" t="s">
        <v>8</v>
      </c>
      <c r="C2">
        <v>4879.139100390802</v>
      </c>
      <c r="D2">
        <v>3598.4316363346502</v>
      </c>
      <c r="E2">
        <v>543.84592750114791</v>
      </c>
      <c r="F2">
        <v>250.1832635380656</v>
      </c>
      <c r="G2" t="s">
        <v>9</v>
      </c>
      <c r="H2" t="s">
        <v>10</v>
      </c>
    </row>
    <row r="3" spans="1:8" x14ac:dyDescent="0.25">
      <c r="A3">
        <v>2008</v>
      </c>
      <c r="B3" t="s">
        <v>11</v>
      </c>
      <c r="C3">
        <v>83.432411366842985</v>
      </c>
      <c r="D3">
        <v>110.1025076604593</v>
      </c>
      <c r="E3">
        <v>69.778111659608911</v>
      </c>
      <c r="F3">
        <v>12.53224884597835</v>
      </c>
      <c r="G3" t="s">
        <v>12</v>
      </c>
      <c r="H3" t="s">
        <v>13</v>
      </c>
    </row>
    <row r="4" spans="1:8" x14ac:dyDescent="0.25">
      <c r="A4">
        <v>2008</v>
      </c>
      <c r="B4" t="s">
        <v>14</v>
      </c>
      <c r="C4">
        <v>537.68776215054777</v>
      </c>
      <c r="D4">
        <v>358.89081072722018</v>
      </c>
      <c r="E4">
        <v>105.7575653785991</v>
      </c>
      <c r="F4">
        <v>3.5099991000000288</v>
      </c>
      <c r="G4" t="s">
        <v>9</v>
      </c>
      <c r="H4" t="s">
        <v>10</v>
      </c>
    </row>
    <row r="5" spans="1:8" x14ac:dyDescent="0.25">
      <c r="A5">
        <v>2008</v>
      </c>
      <c r="B5" t="s">
        <v>15</v>
      </c>
      <c r="C5">
        <v>38.260362788448177</v>
      </c>
      <c r="D5">
        <v>45.141396905298699</v>
      </c>
      <c r="E5">
        <v>19.889701669000249</v>
      </c>
      <c r="F5">
        <v>7.9066774189066926</v>
      </c>
      <c r="G5" t="s">
        <v>16</v>
      </c>
      <c r="H5" t="s">
        <v>10</v>
      </c>
    </row>
    <row r="6" spans="1:8" x14ac:dyDescent="0.25">
      <c r="A6">
        <v>2008</v>
      </c>
      <c r="B6" t="s">
        <v>17</v>
      </c>
      <c r="C6">
        <v>204.8001729536407</v>
      </c>
      <c r="D6">
        <v>331.36947536343808</v>
      </c>
      <c r="E6">
        <v>105.4127420853484</v>
      </c>
      <c r="F6">
        <v>20.98361923492131</v>
      </c>
      <c r="G6" t="s">
        <v>18</v>
      </c>
      <c r="H6" t="s">
        <v>13</v>
      </c>
    </row>
    <row r="7" spans="1:8" x14ac:dyDescent="0.25">
      <c r="A7">
        <v>2008</v>
      </c>
      <c r="B7" t="s">
        <v>19</v>
      </c>
      <c r="C7">
        <v>69.968759526130185</v>
      </c>
      <c r="D7">
        <v>39.192226900557237</v>
      </c>
      <c r="E7">
        <v>9.1482282558913912</v>
      </c>
      <c r="F7">
        <v>0.36</v>
      </c>
      <c r="G7" t="s">
        <v>20</v>
      </c>
      <c r="H7" t="s">
        <v>175</v>
      </c>
    </row>
    <row r="8" spans="1:8" x14ac:dyDescent="0.25">
      <c r="A8">
        <v>2008</v>
      </c>
      <c r="B8" t="s">
        <v>22</v>
      </c>
      <c r="C8">
        <v>0.09</v>
      </c>
      <c r="D8">
        <v>0.27000074999872592</v>
      </c>
      <c r="E8">
        <v>1.1030870263046419</v>
      </c>
      <c r="F8">
        <v>0.54189805097332111</v>
      </c>
      <c r="G8" t="s">
        <v>9</v>
      </c>
      <c r="H8" t="s">
        <v>175</v>
      </c>
    </row>
    <row r="9" spans="1:8" x14ac:dyDescent="0.25">
      <c r="A9">
        <v>2008</v>
      </c>
      <c r="B9" t="s">
        <v>23</v>
      </c>
      <c r="C9">
        <v>1.0613481178351361</v>
      </c>
      <c r="D9">
        <v>3.9502498561822579</v>
      </c>
      <c r="E9">
        <v>1.918035930093374</v>
      </c>
      <c r="F9">
        <v>0.43468132268970688</v>
      </c>
      <c r="G9" t="s">
        <v>20</v>
      </c>
      <c r="H9" t="s">
        <v>24</v>
      </c>
    </row>
    <row r="10" spans="1:8" x14ac:dyDescent="0.25">
      <c r="A10">
        <v>2008</v>
      </c>
      <c r="B10" t="s">
        <v>25</v>
      </c>
      <c r="C10">
        <v>0.9022365563691912</v>
      </c>
      <c r="D10">
        <v>0.58135588402519445</v>
      </c>
      <c r="E10">
        <v>0</v>
      </c>
      <c r="F10">
        <v>0</v>
      </c>
      <c r="G10" t="s">
        <v>26</v>
      </c>
      <c r="H10" t="s">
        <v>13</v>
      </c>
    </row>
    <row r="11" spans="1:8" x14ac:dyDescent="0.25">
      <c r="A11">
        <v>2008</v>
      </c>
      <c r="B11" t="s">
        <v>27</v>
      </c>
      <c r="C11">
        <v>835.65000190334945</v>
      </c>
      <c r="D11">
        <v>484.38000074663847</v>
      </c>
      <c r="E11">
        <v>67.499997750002336</v>
      </c>
      <c r="F11">
        <v>41.580000899998467</v>
      </c>
      <c r="G11" t="s">
        <v>28</v>
      </c>
      <c r="H11" t="s">
        <v>10</v>
      </c>
    </row>
    <row r="12" spans="1:8" x14ac:dyDescent="0.25">
      <c r="A12">
        <v>2008</v>
      </c>
      <c r="B12" t="s">
        <v>29</v>
      </c>
      <c r="C12">
        <v>351.26082580599751</v>
      </c>
      <c r="D12">
        <v>297.05582301479512</v>
      </c>
      <c r="E12">
        <v>125.37878709589531</v>
      </c>
      <c r="F12">
        <v>17.133597347318219</v>
      </c>
      <c r="G12" t="s">
        <v>9</v>
      </c>
      <c r="H12" t="s">
        <v>10</v>
      </c>
    </row>
    <row r="13" spans="1:8" x14ac:dyDescent="0.25">
      <c r="A13">
        <v>2008</v>
      </c>
      <c r="B13" t="s">
        <v>30</v>
      </c>
      <c r="C13">
        <v>60.589675698997532</v>
      </c>
      <c r="D13">
        <v>30.61656433389474</v>
      </c>
      <c r="E13">
        <v>7.7731050866436142</v>
      </c>
      <c r="F13">
        <v>1.328609700000845</v>
      </c>
      <c r="G13" t="s">
        <v>31</v>
      </c>
      <c r="H13" t="s">
        <v>24</v>
      </c>
    </row>
    <row r="14" spans="1:8" x14ac:dyDescent="0.25">
      <c r="A14">
        <v>2008</v>
      </c>
      <c r="B14" t="s">
        <v>32</v>
      </c>
      <c r="C14">
        <v>90.560221129473078</v>
      </c>
      <c r="D14">
        <v>270.73833151658499</v>
      </c>
      <c r="E14">
        <v>77.589825052251228</v>
      </c>
      <c r="F14">
        <v>4.830842478330764</v>
      </c>
      <c r="G14" t="s">
        <v>9</v>
      </c>
      <c r="H14" t="s">
        <v>10</v>
      </c>
    </row>
    <row r="15" spans="1:8" x14ac:dyDescent="0.25">
      <c r="A15">
        <v>2008</v>
      </c>
      <c r="B15" t="s">
        <v>33</v>
      </c>
      <c r="C15">
        <v>4072.4003740775029</v>
      </c>
      <c r="D15">
        <v>4636.8197066737002</v>
      </c>
      <c r="E15">
        <v>2121.584935748283</v>
      </c>
      <c r="F15">
        <v>452.79213539149191</v>
      </c>
      <c r="G15" t="s">
        <v>34</v>
      </c>
      <c r="H15" t="s">
        <v>10</v>
      </c>
    </row>
    <row r="16" spans="1:8" x14ac:dyDescent="0.25">
      <c r="A16">
        <v>2008</v>
      </c>
      <c r="B16" t="s">
        <v>35</v>
      </c>
      <c r="C16">
        <v>56.175715571618262</v>
      </c>
      <c r="D16">
        <v>94.14223963968756</v>
      </c>
      <c r="E16">
        <v>31.590003599993882</v>
      </c>
      <c r="F16">
        <v>25.650003599998382</v>
      </c>
      <c r="G16" t="s">
        <v>9</v>
      </c>
      <c r="H16" t="s">
        <v>10</v>
      </c>
    </row>
    <row r="17" spans="1:9" x14ac:dyDescent="0.25">
      <c r="A17">
        <v>2008</v>
      </c>
      <c r="B17" t="s">
        <v>36</v>
      </c>
      <c r="C17">
        <v>10.26235499354487</v>
      </c>
      <c r="D17">
        <v>3.893578651962454</v>
      </c>
      <c r="E17">
        <v>0</v>
      </c>
      <c r="F17">
        <v>0</v>
      </c>
      <c r="G17" t="s">
        <v>9</v>
      </c>
      <c r="H17" t="s">
        <v>10</v>
      </c>
    </row>
    <row r="18" spans="1:9" x14ac:dyDescent="0.25">
      <c r="A18">
        <v>2008</v>
      </c>
      <c r="B18" t="s">
        <v>37</v>
      </c>
      <c r="C18">
        <v>0.1981490303045251</v>
      </c>
      <c r="D18">
        <v>2.7173400304427942E-2</v>
      </c>
      <c r="E18">
        <v>0</v>
      </c>
      <c r="F18">
        <v>0</v>
      </c>
      <c r="G18" t="s">
        <v>26</v>
      </c>
      <c r="H18" t="s">
        <v>175</v>
      </c>
    </row>
    <row r="19" spans="1:9" x14ac:dyDescent="0.25">
      <c r="A19">
        <v>2008</v>
      </c>
      <c r="B19" t="s">
        <v>38</v>
      </c>
      <c r="C19">
        <v>0.27</v>
      </c>
      <c r="D19">
        <v>0.81000224999617787</v>
      </c>
      <c r="E19">
        <v>3.301591284061983</v>
      </c>
      <c r="F19">
        <v>1.6923880764109001</v>
      </c>
      <c r="G19" t="s">
        <v>26</v>
      </c>
      <c r="H19" t="s">
        <v>13</v>
      </c>
    </row>
    <row r="20" spans="1:9" x14ac:dyDescent="0.25">
      <c r="A20">
        <v>2008</v>
      </c>
      <c r="B20" t="s">
        <v>39</v>
      </c>
      <c r="C20">
        <v>2.038863665537757</v>
      </c>
      <c r="D20">
        <v>0</v>
      </c>
      <c r="E20">
        <v>0</v>
      </c>
      <c r="F20">
        <v>0</v>
      </c>
      <c r="G20" t="s">
        <v>20</v>
      </c>
      <c r="H20" t="s">
        <v>24</v>
      </c>
    </row>
    <row r="21" spans="1:9" x14ac:dyDescent="0.25">
      <c r="A21">
        <v>2008</v>
      </c>
      <c r="B21" t="s">
        <v>40</v>
      </c>
      <c r="C21">
        <v>289.1313695539086</v>
      </c>
      <c r="D21">
        <v>175.36891602314611</v>
      </c>
      <c r="E21">
        <v>87.115834976306132</v>
      </c>
      <c r="F21">
        <v>5.4000008999984717</v>
      </c>
      <c r="G21" t="s">
        <v>9</v>
      </c>
      <c r="H21" t="s">
        <v>10</v>
      </c>
    </row>
    <row r="22" spans="1:9" x14ac:dyDescent="0.25">
      <c r="A22">
        <v>2008</v>
      </c>
      <c r="B22" t="s">
        <v>41</v>
      </c>
      <c r="C22">
        <v>1.876907419109582</v>
      </c>
      <c r="D22">
        <v>18.96808982131915</v>
      </c>
      <c r="E22">
        <v>15.54703310072191</v>
      </c>
      <c r="F22">
        <v>3.382427401987778</v>
      </c>
      <c r="G22" t="s">
        <v>34</v>
      </c>
      <c r="H22" t="s">
        <v>10</v>
      </c>
    </row>
    <row r="23" spans="1:9" x14ac:dyDescent="0.25">
      <c r="A23">
        <v>2008</v>
      </c>
      <c r="B23" t="s">
        <v>42</v>
      </c>
      <c r="C23">
        <v>11.2112796377865</v>
      </c>
      <c r="D23">
        <v>4.8300920829362939</v>
      </c>
      <c r="E23">
        <v>2.8342148165208498</v>
      </c>
      <c r="F23">
        <v>0</v>
      </c>
      <c r="G23" t="s">
        <v>43</v>
      </c>
      <c r="H23" t="s">
        <v>10</v>
      </c>
    </row>
    <row r="24" spans="1:9" x14ac:dyDescent="0.25">
      <c r="A24">
        <v>2008</v>
      </c>
      <c r="B24" t="s">
        <v>44</v>
      </c>
      <c r="C24">
        <v>1.3866671960376249</v>
      </c>
      <c r="D24">
        <v>1.74633057571704</v>
      </c>
      <c r="E24">
        <v>1.348805497623032E-2</v>
      </c>
      <c r="F24">
        <v>0</v>
      </c>
      <c r="G24" t="s">
        <v>28</v>
      </c>
      <c r="H24" t="s">
        <v>175</v>
      </c>
    </row>
    <row r="25" spans="1:9" x14ac:dyDescent="0.25">
      <c r="A25">
        <v>2008</v>
      </c>
      <c r="B25" t="s">
        <v>45</v>
      </c>
      <c r="C25">
        <v>4.1600015881128751</v>
      </c>
      <c r="D25">
        <v>5.238991727151121</v>
      </c>
      <c r="E25">
        <v>4.0464164928690982E-2</v>
      </c>
      <c r="F25">
        <v>0</v>
      </c>
      <c r="G25" t="s">
        <v>46</v>
      </c>
      <c r="H25" t="s">
        <v>13</v>
      </c>
    </row>
    <row r="26" spans="1:9" x14ac:dyDescent="0.25">
      <c r="A26">
        <v>2008</v>
      </c>
      <c r="B26" t="s">
        <v>47</v>
      </c>
      <c r="C26">
        <v>0.24472044466083179</v>
      </c>
      <c r="D26">
        <v>0</v>
      </c>
      <c r="E26">
        <v>0</v>
      </c>
      <c r="F26">
        <v>0</v>
      </c>
      <c r="G26" t="s">
        <v>48</v>
      </c>
      <c r="H26" t="s">
        <v>10</v>
      </c>
    </row>
    <row r="27" spans="1:9" x14ac:dyDescent="0.25">
      <c r="A27">
        <v>2009</v>
      </c>
      <c r="B27" t="s">
        <v>49</v>
      </c>
      <c r="C27">
        <v>11.19290174019384</v>
      </c>
      <c r="D27">
        <v>34.416253936071193</v>
      </c>
      <c r="E27">
        <v>42.909264941276938</v>
      </c>
      <c r="F27">
        <v>34.288095349516112</v>
      </c>
      <c r="G27" t="s">
        <v>9</v>
      </c>
      <c r="H27" t="s">
        <v>10</v>
      </c>
    </row>
    <row r="28" spans="1:9" x14ac:dyDescent="0.25">
      <c r="A28" s="28">
        <v>2009</v>
      </c>
      <c r="B28" s="28" t="s">
        <v>50</v>
      </c>
      <c r="C28" s="28">
        <v>99.718367623568994</v>
      </c>
      <c r="D28" s="28">
        <v>17.073388371014769</v>
      </c>
      <c r="E28" s="28">
        <v>2.4300004499992349</v>
      </c>
      <c r="F28" s="28">
        <v>0</v>
      </c>
      <c r="G28" s="28" t="s">
        <v>16</v>
      </c>
      <c r="H28" s="28" t="s">
        <v>10</v>
      </c>
      <c r="I28" t="s">
        <v>203</v>
      </c>
    </row>
    <row r="29" spans="1:9" x14ac:dyDescent="0.25">
      <c r="A29" s="28">
        <v>2009</v>
      </c>
      <c r="B29" s="28" t="s">
        <v>51</v>
      </c>
      <c r="C29" s="28">
        <v>102.656862741533</v>
      </c>
      <c r="D29" s="28">
        <v>25.60662296781344</v>
      </c>
      <c r="E29" s="28">
        <v>0.85564947887159848</v>
      </c>
      <c r="F29" s="28">
        <v>0.53999955000076438</v>
      </c>
      <c r="G29" s="28" t="s">
        <v>52</v>
      </c>
      <c r="H29" s="28" t="s">
        <v>13</v>
      </c>
      <c r="I29" t="s">
        <v>203</v>
      </c>
    </row>
    <row r="30" spans="1:9" x14ac:dyDescent="0.25">
      <c r="A30" s="28">
        <v>2009</v>
      </c>
      <c r="B30" s="28" t="s">
        <v>53</v>
      </c>
      <c r="C30" s="28">
        <v>1094.9268822787351</v>
      </c>
      <c r="D30" s="28">
        <v>438.77173157009048</v>
      </c>
      <c r="E30" s="28">
        <v>128.92266564316691</v>
      </c>
      <c r="F30" s="28">
        <v>150.7042895711447</v>
      </c>
      <c r="G30" s="28" t="s">
        <v>52</v>
      </c>
      <c r="H30" s="28" t="s">
        <v>13</v>
      </c>
      <c r="I30" t="s">
        <v>203</v>
      </c>
    </row>
    <row r="31" spans="1:9" x14ac:dyDescent="0.25">
      <c r="A31" s="28">
        <v>2009</v>
      </c>
      <c r="B31" s="28" t="s">
        <v>54</v>
      </c>
      <c r="C31" s="28">
        <v>364.97289364117592</v>
      </c>
      <c r="D31" s="28">
        <v>146.25799536179539</v>
      </c>
      <c r="E31" s="28">
        <v>42.973985479548823</v>
      </c>
      <c r="F31" s="28">
        <v>50.234647996812818</v>
      </c>
      <c r="G31" s="28" t="s">
        <v>26</v>
      </c>
      <c r="H31" s="28" t="s">
        <v>175</v>
      </c>
      <c r="I31" t="s">
        <v>203</v>
      </c>
    </row>
    <row r="32" spans="1:9" x14ac:dyDescent="0.25">
      <c r="A32" s="28">
        <v>2009</v>
      </c>
      <c r="B32" s="28" t="s">
        <v>55</v>
      </c>
      <c r="C32" s="28">
        <v>643.88867884467732</v>
      </c>
      <c r="D32" s="28">
        <v>311.41178664302379</v>
      </c>
      <c r="E32" s="28">
        <v>87.964064889607542</v>
      </c>
      <c r="F32" s="28">
        <v>46.786387038913837</v>
      </c>
      <c r="G32" s="28" t="s">
        <v>56</v>
      </c>
      <c r="H32" s="28" t="s">
        <v>13</v>
      </c>
      <c r="I32" t="s">
        <v>203</v>
      </c>
    </row>
    <row r="33" spans="1:9" x14ac:dyDescent="0.25">
      <c r="A33">
        <v>2014</v>
      </c>
      <c r="B33" t="s">
        <v>57</v>
      </c>
      <c r="C33">
        <v>81.923253994291315</v>
      </c>
      <c r="D33">
        <v>51.232967100546219</v>
      </c>
      <c r="E33">
        <v>0</v>
      </c>
      <c r="F33">
        <v>0</v>
      </c>
      <c r="G33" t="s">
        <v>31</v>
      </c>
      <c r="H33" t="s">
        <v>24</v>
      </c>
    </row>
    <row r="34" spans="1:9" x14ac:dyDescent="0.25">
      <c r="A34">
        <v>2014</v>
      </c>
      <c r="B34" t="s">
        <v>15</v>
      </c>
      <c r="C34">
        <v>42.909587978883998</v>
      </c>
      <c r="D34">
        <v>366.50296285804518</v>
      </c>
      <c r="E34">
        <v>0</v>
      </c>
      <c r="F34">
        <v>0</v>
      </c>
      <c r="G34" t="s">
        <v>16</v>
      </c>
      <c r="H34" t="s">
        <v>10</v>
      </c>
    </row>
    <row r="35" spans="1:9" x14ac:dyDescent="0.25">
      <c r="A35">
        <v>2014</v>
      </c>
      <c r="B35" t="s">
        <v>58</v>
      </c>
      <c r="C35">
        <v>9.5529809343033065</v>
      </c>
      <c r="D35">
        <v>14.49874750391173</v>
      </c>
      <c r="E35">
        <v>0</v>
      </c>
      <c r="F35">
        <v>0</v>
      </c>
      <c r="G35" t="s">
        <v>59</v>
      </c>
      <c r="H35" t="s">
        <v>175</v>
      </c>
    </row>
    <row r="36" spans="1:9" x14ac:dyDescent="0.25">
      <c r="A36">
        <v>2014</v>
      </c>
      <c r="B36" t="s">
        <v>60</v>
      </c>
      <c r="C36">
        <v>0</v>
      </c>
      <c r="D36">
        <v>0.39069201589541658</v>
      </c>
      <c r="E36">
        <v>0</v>
      </c>
      <c r="F36">
        <v>0</v>
      </c>
      <c r="G36" t="s">
        <v>59</v>
      </c>
      <c r="H36" t="s">
        <v>175</v>
      </c>
    </row>
    <row r="37" spans="1:9" x14ac:dyDescent="0.25">
      <c r="A37">
        <v>2014</v>
      </c>
      <c r="B37" t="s">
        <v>44</v>
      </c>
      <c r="C37">
        <v>9.0643854379585083</v>
      </c>
      <c r="D37">
        <v>48.209440574995632</v>
      </c>
      <c r="E37">
        <v>0</v>
      </c>
      <c r="F37">
        <v>0</v>
      </c>
      <c r="G37" t="s">
        <v>28</v>
      </c>
      <c r="H37" t="s">
        <v>21</v>
      </c>
    </row>
    <row r="38" spans="1:9" x14ac:dyDescent="0.25">
      <c r="A38">
        <v>2014</v>
      </c>
      <c r="B38" t="s">
        <v>45</v>
      </c>
      <c r="C38">
        <v>27.193156313875519</v>
      </c>
      <c r="D38">
        <v>144.62832172498679</v>
      </c>
      <c r="E38">
        <v>0</v>
      </c>
      <c r="F38">
        <v>0</v>
      </c>
      <c r="G38" t="s">
        <v>46</v>
      </c>
      <c r="H38" t="s">
        <v>13</v>
      </c>
    </row>
    <row r="39" spans="1:9" s="2" customFormat="1" x14ac:dyDescent="0.25">
      <c r="A39" s="28">
        <v>2016</v>
      </c>
      <c r="B39" s="28" t="s">
        <v>11</v>
      </c>
      <c r="C39" s="28">
        <v>82.194086031727679</v>
      </c>
      <c r="D39" s="28">
        <v>260.70754490200522</v>
      </c>
      <c r="E39" s="28">
        <v>58.300244698604253</v>
      </c>
      <c r="F39" s="29">
        <v>9.091565550008994</v>
      </c>
      <c r="G39" s="28" t="s">
        <v>12</v>
      </c>
      <c r="H39" s="28" t="s">
        <v>13</v>
      </c>
    </row>
    <row r="40" spans="1:9" s="2" customFormat="1" x14ac:dyDescent="0.25">
      <c r="A40" s="28">
        <v>2016</v>
      </c>
      <c r="B40" s="28" t="s">
        <v>14</v>
      </c>
      <c r="C40" s="28">
        <v>127.8996622523408</v>
      </c>
      <c r="D40" s="28">
        <v>442.21921445137912</v>
      </c>
      <c r="E40" s="28">
        <v>7.1003159999953507</v>
      </c>
      <c r="F40" s="28">
        <v>0</v>
      </c>
      <c r="G40" s="28" t="s">
        <v>9</v>
      </c>
      <c r="H40" s="28" t="s">
        <v>10</v>
      </c>
    </row>
    <row r="41" spans="1:9" s="2" customFormat="1" x14ac:dyDescent="0.25">
      <c r="A41" s="28">
        <v>2016</v>
      </c>
      <c r="B41" s="28" t="s">
        <v>19</v>
      </c>
      <c r="C41" s="28">
        <v>9.065105784431883E-2</v>
      </c>
      <c r="D41" s="28">
        <v>1.8914461114901071</v>
      </c>
      <c r="E41" s="28">
        <v>4.8610865871006492E-2</v>
      </c>
      <c r="F41" s="28">
        <v>0</v>
      </c>
      <c r="G41" s="28" t="s">
        <v>20</v>
      </c>
      <c r="H41" s="28" t="s">
        <v>175</v>
      </c>
    </row>
    <row r="42" spans="1:9" s="2" customFormat="1" x14ac:dyDescent="0.25">
      <c r="A42" s="28">
        <v>2016</v>
      </c>
      <c r="B42" s="28" t="s">
        <v>61</v>
      </c>
      <c r="C42" s="28">
        <v>6.1774465356280759</v>
      </c>
      <c r="D42" s="28">
        <v>15.34076277685157</v>
      </c>
      <c r="E42" s="28">
        <v>0</v>
      </c>
      <c r="F42" s="28">
        <v>0</v>
      </c>
      <c r="G42" s="28" t="s">
        <v>34</v>
      </c>
      <c r="H42" s="28" t="s">
        <v>24</v>
      </c>
    </row>
    <row r="43" spans="1:9" s="2" customFormat="1" x14ac:dyDescent="0.25">
      <c r="A43" s="28">
        <v>2016</v>
      </c>
      <c r="B43" s="28" t="s">
        <v>62</v>
      </c>
      <c r="C43" s="28">
        <v>6.3542122383082811</v>
      </c>
      <c r="D43" s="28">
        <v>33.682900302895177</v>
      </c>
      <c r="E43" s="28">
        <v>2.429998200003058</v>
      </c>
      <c r="F43" s="28">
        <v>0</v>
      </c>
      <c r="G43" s="28" t="s">
        <v>48</v>
      </c>
      <c r="H43" s="28" t="s">
        <v>13</v>
      </c>
    </row>
    <row r="44" spans="1:9" s="2" customFormat="1" x14ac:dyDescent="0.25">
      <c r="A44" s="28">
        <v>2016</v>
      </c>
      <c r="B44" s="28" t="s">
        <v>63</v>
      </c>
      <c r="C44" s="28">
        <v>0</v>
      </c>
      <c r="D44" s="28">
        <v>0</v>
      </c>
      <c r="E44" s="28">
        <v>0.80969560294557064</v>
      </c>
      <c r="F44" s="28">
        <v>0.85079869194628677</v>
      </c>
      <c r="G44" s="28" t="s">
        <v>59</v>
      </c>
      <c r="H44" s="28" t="s">
        <v>175</v>
      </c>
    </row>
    <row r="45" spans="1:9" s="2" customFormat="1" x14ac:dyDescent="0.25">
      <c r="A45" s="28">
        <v>2016</v>
      </c>
      <c r="B45" s="28" t="s">
        <v>64</v>
      </c>
      <c r="C45" s="28">
        <v>96.664886414890546</v>
      </c>
      <c r="D45" s="28">
        <v>314.97821902262922</v>
      </c>
      <c r="E45" s="28">
        <v>30.155819078467939</v>
      </c>
      <c r="F45" s="28">
        <v>0</v>
      </c>
      <c r="G45" s="28" t="s">
        <v>9</v>
      </c>
      <c r="H45" s="28" t="s">
        <v>10</v>
      </c>
    </row>
    <row r="46" spans="1:9" s="2" customFormat="1" x14ac:dyDescent="0.25">
      <c r="A46" s="28">
        <v>2016</v>
      </c>
      <c r="B46" s="28" t="s">
        <v>65</v>
      </c>
      <c r="C46" s="28">
        <v>10.649310683943259</v>
      </c>
      <c r="D46" s="28">
        <v>32.865922525798808</v>
      </c>
      <c r="E46" s="28">
        <v>3.7819943858855898</v>
      </c>
      <c r="F46" s="28">
        <v>0.26999955000076448</v>
      </c>
      <c r="G46" s="28" t="s">
        <v>20</v>
      </c>
      <c r="H46" s="28" t="s">
        <v>24</v>
      </c>
    </row>
    <row r="47" spans="1:9" s="2" customFormat="1" x14ac:dyDescent="0.25">
      <c r="A47" s="28">
        <v>2016</v>
      </c>
      <c r="B47" s="28" t="s">
        <v>25</v>
      </c>
      <c r="C47" s="28">
        <v>0.32555404396081422</v>
      </c>
      <c r="D47" s="28">
        <v>1.0415551499789579</v>
      </c>
      <c r="E47" s="28">
        <v>0</v>
      </c>
      <c r="F47" s="28">
        <v>0</v>
      </c>
      <c r="G47" s="28" t="s">
        <v>26</v>
      </c>
      <c r="H47" s="28" t="s">
        <v>13</v>
      </c>
    </row>
    <row r="48" spans="1:9" s="2" customFormat="1" x14ac:dyDescent="0.25">
      <c r="A48" s="28">
        <v>2016</v>
      </c>
      <c r="B48" s="28" t="s">
        <v>66</v>
      </c>
      <c r="C48" s="28">
        <v>11.82947266022863</v>
      </c>
      <c r="D48" s="28">
        <v>268.39620050648728</v>
      </c>
      <c r="E48" s="28">
        <v>387.53941569755011</v>
      </c>
      <c r="F48" s="29">
        <v>96.7301438539602</v>
      </c>
      <c r="G48" s="28" t="s">
        <v>67</v>
      </c>
      <c r="H48" s="28" t="s">
        <v>24</v>
      </c>
      <c r="I48" s="2" t="s">
        <v>204</v>
      </c>
    </row>
    <row r="49" spans="1:8" s="2" customFormat="1" x14ac:dyDescent="0.25">
      <c r="A49" s="28">
        <v>2016</v>
      </c>
      <c r="B49" s="28" t="s">
        <v>33</v>
      </c>
      <c r="C49" s="28">
        <v>1024.8611339094359</v>
      </c>
      <c r="D49" s="28">
        <v>5363.9853072177666</v>
      </c>
      <c r="E49" s="28">
        <v>841.08771385005696</v>
      </c>
      <c r="F49" s="29">
        <v>60.889808072273347</v>
      </c>
      <c r="G49" s="28" t="s">
        <v>34</v>
      </c>
      <c r="H49" s="28" t="s">
        <v>10</v>
      </c>
    </row>
    <row r="50" spans="1:8" s="2" customFormat="1" x14ac:dyDescent="0.25">
      <c r="A50" s="28">
        <v>2016</v>
      </c>
      <c r="B50" s="28" t="s">
        <v>68</v>
      </c>
      <c r="C50" s="28">
        <v>40.906216737513653</v>
      </c>
      <c r="D50" s="28">
        <v>689.20100972146042</v>
      </c>
      <c r="E50" s="28">
        <v>129.49529136029591</v>
      </c>
      <c r="F50" s="28">
        <v>1.960739114748639</v>
      </c>
      <c r="G50" s="28" t="s">
        <v>69</v>
      </c>
      <c r="H50" s="28" t="s">
        <v>13</v>
      </c>
    </row>
    <row r="51" spans="1:8" s="2" customFormat="1" x14ac:dyDescent="0.25">
      <c r="A51" s="28">
        <v>2016</v>
      </c>
      <c r="B51" s="28" t="s">
        <v>70</v>
      </c>
      <c r="C51" s="28">
        <v>68.163360434641262</v>
      </c>
      <c r="D51" s="28">
        <v>217.49304035568571</v>
      </c>
      <c r="E51" s="28">
        <v>168.08898561915541</v>
      </c>
      <c r="F51" s="29">
        <v>28.474616512026081</v>
      </c>
      <c r="G51" s="28" t="s">
        <v>20</v>
      </c>
      <c r="H51" s="28" t="s">
        <v>24</v>
      </c>
    </row>
    <row r="52" spans="1:8" s="2" customFormat="1" x14ac:dyDescent="0.25">
      <c r="A52" s="28">
        <v>2016</v>
      </c>
      <c r="B52" s="28" t="s">
        <v>71</v>
      </c>
      <c r="C52" s="28">
        <v>0</v>
      </c>
      <c r="D52" s="28">
        <v>4.3585523944341338</v>
      </c>
      <c r="E52" s="28">
        <v>19.697181696395631</v>
      </c>
      <c r="F52" s="28">
        <v>0.27</v>
      </c>
      <c r="G52" s="28" t="s">
        <v>20</v>
      </c>
      <c r="H52" s="28" t="s">
        <v>13</v>
      </c>
    </row>
    <row r="53" spans="1:8" s="2" customFormat="1" x14ac:dyDescent="0.25">
      <c r="A53" s="28">
        <v>2016</v>
      </c>
      <c r="B53" s="28" t="s">
        <v>72</v>
      </c>
      <c r="C53" s="28">
        <v>86.425639153692003</v>
      </c>
      <c r="D53" s="28">
        <v>309.86795519663781</v>
      </c>
      <c r="E53" s="28">
        <v>184.95554627799589</v>
      </c>
      <c r="F53" s="29">
        <v>106.4418846073239</v>
      </c>
      <c r="G53" s="28" t="s">
        <v>69</v>
      </c>
      <c r="H53" s="28" t="s">
        <v>24</v>
      </c>
    </row>
    <row r="54" spans="1:8" s="2" customFormat="1" x14ac:dyDescent="0.25">
      <c r="A54" s="28">
        <v>2016</v>
      </c>
      <c r="B54" s="28" t="s">
        <v>40</v>
      </c>
      <c r="C54" s="28">
        <v>101.11950143271351</v>
      </c>
      <c r="D54" s="28">
        <v>236.0314719936346</v>
      </c>
      <c r="E54" s="28">
        <v>9.4699962000036617</v>
      </c>
      <c r="F54" s="28">
        <v>0</v>
      </c>
      <c r="G54" s="28" t="s">
        <v>9</v>
      </c>
      <c r="H54" s="28" t="s">
        <v>10</v>
      </c>
    </row>
    <row r="55" spans="1:8" s="2" customFormat="1" x14ac:dyDescent="0.25">
      <c r="A55" s="28">
        <v>2016</v>
      </c>
      <c r="B55" s="28" t="s">
        <v>41</v>
      </c>
      <c r="C55" s="28">
        <v>12.020599344226721</v>
      </c>
      <c r="D55" s="28">
        <v>81.961202688178602</v>
      </c>
      <c r="E55" s="28">
        <v>26.578870829712521</v>
      </c>
      <c r="F55" s="28">
        <v>2.1346651093731261</v>
      </c>
      <c r="G55" s="28" t="s">
        <v>34</v>
      </c>
      <c r="H55" s="28" t="s">
        <v>10</v>
      </c>
    </row>
    <row r="56" spans="1:8" s="2" customFormat="1" x14ac:dyDescent="0.25">
      <c r="A56" s="28">
        <v>2016</v>
      </c>
      <c r="B56" s="28" t="s">
        <v>73</v>
      </c>
      <c r="C56" s="28">
        <v>36.671462326496723</v>
      </c>
      <c r="D56" s="28">
        <v>80.364923757482941</v>
      </c>
      <c r="E56" s="28">
        <v>16.526459796436839</v>
      </c>
      <c r="F56" s="28">
        <v>4.3436861696212672</v>
      </c>
      <c r="G56" s="28" t="s">
        <v>74</v>
      </c>
      <c r="H56" s="28" t="s">
        <v>175</v>
      </c>
    </row>
    <row r="57" spans="1:8" s="2" customFormat="1" x14ac:dyDescent="0.25">
      <c r="A57" s="28">
        <v>2016</v>
      </c>
      <c r="B57" s="28" t="s">
        <v>75</v>
      </c>
      <c r="C57" s="28">
        <v>111.1547136452232</v>
      </c>
      <c r="D57" s="28">
        <v>302.91879235112782</v>
      </c>
      <c r="E57" s="28">
        <v>57.870804134409077</v>
      </c>
      <c r="F57" s="29">
        <v>14.89671484571333</v>
      </c>
      <c r="G57" s="28" t="s">
        <v>74</v>
      </c>
      <c r="H57" s="28" t="s">
        <v>24</v>
      </c>
    </row>
    <row r="58" spans="1:8" s="2" customFormat="1" x14ac:dyDescent="0.25">
      <c r="A58" s="28">
        <v>2016</v>
      </c>
      <c r="B58" s="28" t="s">
        <v>76</v>
      </c>
      <c r="C58" s="28">
        <v>5.3448274665610933</v>
      </c>
      <c r="D58" s="28">
        <v>43.106429186597339</v>
      </c>
      <c r="E58" s="28">
        <v>49.569034499611149</v>
      </c>
      <c r="F58" s="29">
        <v>34.864134750120108</v>
      </c>
      <c r="G58" s="28" t="s">
        <v>77</v>
      </c>
      <c r="H58" s="28" t="s">
        <v>13</v>
      </c>
    </row>
    <row r="59" spans="1:8" s="2" customFormat="1" x14ac:dyDescent="0.25">
      <c r="A59" s="28">
        <v>2017</v>
      </c>
      <c r="B59" s="28" t="s">
        <v>78</v>
      </c>
      <c r="C59" s="28">
        <v>85.807669517653451</v>
      </c>
      <c r="D59" s="28">
        <v>82.020495293021995</v>
      </c>
      <c r="E59" s="28">
        <v>29.4087815467865</v>
      </c>
      <c r="F59" s="28">
        <v>13.139985990615861</v>
      </c>
      <c r="G59" s="28" t="s">
        <v>79</v>
      </c>
      <c r="H59" s="28" t="s">
        <v>24</v>
      </c>
    </row>
    <row r="60" spans="1:8" s="2" customFormat="1" x14ac:dyDescent="0.25">
      <c r="A60" s="28">
        <v>2017</v>
      </c>
      <c r="B60" s="28" t="s">
        <v>80</v>
      </c>
      <c r="C60" s="28">
        <v>6.3680395205157156E-2</v>
      </c>
      <c r="D60" s="28">
        <v>0.96724511657745293</v>
      </c>
      <c r="E60" s="28">
        <v>0.60310510771982428</v>
      </c>
      <c r="F60" s="28">
        <v>0</v>
      </c>
      <c r="G60" s="28" t="s">
        <v>79</v>
      </c>
      <c r="H60" s="28" t="s">
        <v>175</v>
      </c>
    </row>
    <row r="61" spans="1:8" s="2" customFormat="1" x14ac:dyDescent="0.25">
      <c r="A61" s="28">
        <v>2017</v>
      </c>
      <c r="B61" s="28" t="s">
        <v>15</v>
      </c>
      <c r="C61" s="28">
        <v>0</v>
      </c>
      <c r="D61" s="28">
        <v>1.9003086307325729</v>
      </c>
      <c r="E61" s="28">
        <v>1.3706187922380451</v>
      </c>
      <c r="F61" s="28">
        <v>0</v>
      </c>
      <c r="G61" s="28" t="s">
        <v>16</v>
      </c>
      <c r="H61" s="28" t="s">
        <v>10</v>
      </c>
    </row>
    <row r="62" spans="1:8" s="2" customFormat="1" x14ac:dyDescent="0.25">
      <c r="A62" s="28">
        <v>2017</v>
      </c>
      <c r="B62" s="28" t="s">
        <v>81</v>
      </c>
      <c r="C62" s="28">
        <v>4.1441229047992953</v>
      </c>
      <c r="D62" s="28">
        <v>29.978765358611842</v>
      </c>
      <c r="E62" s="28">
        <v>5.3259911579688781</v>
      </c>
      <c r="F62" s="28">
        <v>0.45</v>
      </c>
      <c r="G62" s="28" t="s">
        <v>79</v>
      </c>
      <c r="H62" s="28" t="s">
        <v>175</v>
      </c>
    </row>
    <row r="63" spans="1:8" s="2" customFormat="1" x14ac:dyDescent="0.25">
      <c r="A63" s="28">
        <v>2017</v>
      </c>
      <c r="B63" s="28" t="s">
        <v>82</v>
      </c>
      <c r="C63" s="28">
        <v>5.0183425818210221</v>
      </c>
      <c r="D63" s="28">
        <v>9.6775959143446677</v>
      </c>
      <c r="E63" s="28">
        <v>0.54000089999897116</v>
      </c>
      <c r="F63" s="28">
        <v>9.0000149999245202E-2</v>
      </c>
      <c r="G63" s="28" t="s">
        <v>83</v>
      </c>
      <c r="H63" s="28" t="s">
        <v>175</v>
      </c>
    </row>
    <row r="64" spans="1:8" s="2" customFormat="1" x14ac:dyDescent="0.25">
      <c r="A64" s="28">
        <v>2017</v>
      </c>
      <c r="B64" s="28" t="s">
        <v>84</v>
      </c>
      <c r="C64" s="28">
        <v>15.08138014451576</v>
      </c>
      <c r="D64" s="28">
        <v>29.010080380974511</v>
      </c>
      <c r="E64" s="28">
        <v>1.6200026999969139</v>
      </c>
      <c r="F64" s="28">
        <v>0.27000044999773559</v>
      </c>
      <c r="G64" s="28" t="s">
        <v>85</v>
      </c>
      <c r="H64" s="28" t="s">
        <v>10</v>
      </c>
    </row>
    <row r="65" spans="1:8" s="2" customFormat="1" x14ac:dyDescent="0.25">
      <c r="A65" s="28">
        <v>2017</v>
      </c>
      <c r="B65" s="28" t="s">
        <v>86</v>
      </c>
      <c r="C65" s="28">
        <v>0.36000014999974522</v>
      </c>
      <c r="D65" s="28">
        <v>5.4805503110917044</v>
      </c>
      <c r="E65" s="28">
        <v>5.7444944617225548</v>
      </c>
      <c r="F65" s="28">
        <v>0.63</v>
      </c>
      <c r="G65" s="28" t="s">
        <v>79</v>
      </c>
      <c r="H65" s="28" t="s">
        <v>175</v>
      </c>
    </row>
    <row r="66" spans="1:8" s="2" customFormat="1" x14ac:dyDescent="0.25">
      <c r="A66" s="28">
        <v>2017</v>
      </c>
      <c r="B66" s="28" t="s">
        <v>87</v>
      </c>
      <c r="C66" s="28">
        <v>10.80000863368533</v>
      </c>
      <c r="D66" s="28">
        <v>34.957499453210623</v>
      </c>
      <c r="E66" s="28">
        <v>92.628710331667932</v>
      </c>
      <c r="F66" s="28">
        <v>81.71997601762871</v>
      </c>
      <c r="G66" s="28" t="s">
        <v>83</v>
      </c>
      <c r="H66" s="28" t="s">
        <v>175</v>
      </c>
    </row>
    <row r="67" spans="1:8" s="2" customFormat="1" x14ac:dyDescent="0.25">
      <c r="A67" s="28">
        <v>2017</v>
      </c>
      <c r="B67" s="28" t="s">
        <v>88</v>
      </c>
      <c r="C67" s="28">
        <v>53.771599400123279</v>
      </c>
      <c r="D67" s="28">
        <v>33.03338198895495</v>
      </c>
      <c r="E67" s="28">
        <v>8.5614520770097133</v>
      </c>
      <c r="F67" s="28">
        <v>0.53999999999850001</v>
      </c>
      <c r="G67" s="28" t="s">
        <v>89</v>
      </c>
      <c r="H67" s="28" t="s">
        <v>24</v>
      </c>
    </row>
    <row r="68" spans="1:8" s="2" customFormat="1" x14ac:dyDescent="0.25">
      <c r="A68" s="28">
        <v>2017</v>
      </c>
      <c r="B68" s="28" t="s">
        <v>90</v>
      </c>
      <c r="C68" s="28">
        <v>0</v>
      </c>
      <c r="D68" s="28">
        <v>0.52834245786489487</v>
      </c>
      <c r="E68" s="28">
        <v>0.41629356369272152</v>
      </c>
      <c r="F68" s="28">
        <v>0.34946146949340717</v>
      </c>
      <c r="G68" s="28" t="s">
        <v>83</v>
      </c>
      <c r="H68" s="28" t="s">
        <v>175</v>
      </c>
    </row>
    <row r="69" spans="1:8" s="2" customFormat="1" x14ac:dyDescent="0.25">
      <c r="A69" s="28">
        <v>2017</v>
      </c>
      <c r="B69" s="28" t="s">
        <v>91</v>
      </c>
      <c r="C69" s="28">
        <v>21.624107641907919</v>
      </c>
      <c r="D69" s="28">
        <v>43.896624077816163</v>
      </c>
      <c r="E69" s="28">
        <v>24.435304058711559</v>
      </c>
      <c r="F69" s="28">
        <v>3.2399986500037938</v>
      </c>
      <c r="G69" s="28" t="s">
        <v>92</v>
      </c>
      <c r="H69" s="28" t="s">
        <v>24</v>
      </c>
    </row>
    <row r="70" spans="1:8" s="2" customFormat="1" x14ac:dyDescent="0.25">
      <c r="A70" s="28">
        <v>2017</v>
      </c>
      <c r="B70" s="28" t="s">
        <v>93</v>
      </c>
      <c r="C70" s="28">
        <v>2.2385702242947101</v>
      </c>
      <c r="D70" s="28">
        <v>13.463136082524301</v>
      </c>
      <c r="E70" s="28">
        <v>3.6298017518863168</v>
      </c>
      <c r="F70" s="28">
        <v>0</v>
      </c>
      <c r="G70" s="28" t="s">
        <v>85</v>
      </c>
      <c r="H70" s="28" t="s">
        <v>10</v>
      </c>
    </row>
    <row r="71" spans="1:8" s="2" customFormat="1" x14ac:dyDescent="0.25">
      <c r="A71" s="28">
        <v>2017</v>
      </c>
      <c r="B71" s="28" t="s">
        <v>94</v>
      </c>
      <c r="C71" s="28">
        <v>5.3317727431850734</v>
      </c>
      <c r="D71" s="28">
        <v>5.1499957297048677</v>
      </c>
      <c r="E71" s="28">
        <v>8.3606216389585537</v>
      </c>
      <c r="F71" s="28">
        <v>6.5214024107807562</v>
      </c>
      <c r="G71" s="28" t="s">
        <v>9</v>
      </c>
      <c r="H71" s="28" t="s">
        <v>10</v>
      </c>
    </row>
    <row r="72" spans="1:8" s="2" customFormat="1" x14ac:dyDescent="0.25">
      <c r="A72" s="28">
        <v>2017</v>
      </c>
      <c r="B72" s="28" t="s">
        <v>95</v>
      </c>
      <c r="C72" s="28">
        <v>21.329997750006822</v>
      </c>
      <c r="D72" s="28">
        <v>55.8899981752621</v>
      </c>
      <c r="E72" s="28">
        <v>31.056045198067039</v>
      </c>
      <c r="F72" s="28">
        <v>19.95958349277651</v>
      </c>
      <c r="G72" s="28" t="s">
        <v>9</v>
      </c>
      <c r="H72" s="28" t="s">
        <v>10</v>
      </c>
    </row>
    <row r="73" spans="1:8" s="2" customFormat="1" x14ac:dyDescent="0.25">
      <c r="A73" s="28">
        <v>2017</v>
      </c>
      <c r="B73" s="28" t="s">
        <v>96</v>
      </c>
      <c r="C73" s="28">
        <v>0</v>
      </c>
      <c r="D73" s="28">
        <v>2.411912043066383</v>
      </c>
      <c r="E73" s="28">
        <v>2.440633772524599</v>
      </c>
      <c r="F73" s="28">
        <v>15.181238905979569</v>
      </c>
      <c r="G73" s="28" t="s">
        <v>79</v>
      </c>
      <c r="H73" s="28" t="s">
        <v>24</v>
      </c>
    </row>
    <row r="74" spans="1:8" s="2" customFormat="1" x14ac:dyDescent="0.25">
      <c r="A74" s="2">
        <v>2019</v>
      </c>
      <c r="B74" s="2" t="s">
        <v>91</v>
      </c>
      <c r="C74" s="2">
        <v>80.827930935028803</v>
      </c>
      <c r="D74" s="2">
        <v>0</v>
      </c>
      <c r="E74" s="2">
        <v>0</v>
      </c>
      <c r="F74" s="2">
        <v>0</v>
      </c>
      <c r="G74" s="2" t="s">
        <v>92</v>
      </c>
      <c r="H74" s="2" t="s">
        <v>24</v>
      </c>
    </row>
    <row r="75" spans="1:8" s="2" customFormat="1" x14ac:dyDescent="0.25">
      <c r="A75" s="2">
        <v>2020</v>
      </c>
      <c r="B75" s="2" t="s">
        <v>97</v>
      </c>
      <c r="C75" s="2">
        <v>183.0058214777157</v>
      </c>
      <c r="D75" s="2">
        <v>128.44926820130789</v>
      </c>
      <c r="E75" s="2">
        <v>9.7947473905174238</v>
      </c>
      <c r="F75" s="2">
        <v>0</v>
      </c>
      <c r="G75" s="2" t="s">
        <v>9</v>
      </c>
      <c r="H75" s="2" t="s">
        <v>10</v>
      </c>
    </row>
    <row r="76" spans="1:8" s="2" customFormat="1" x14ac:dyDescent="0.25">
      <c r="A76" s="2">
        <v>2020</v>
      </c>
      <c r="B76" s="2" t="s">
        <v>98</v>
      </c>
      <c r="C76" s="2">
        <v>23.84050341882207</v>
      </c>
      <c r="D76" s="2">
        <v>68.432348347653729</v>
      </c>
      <c r="E76" s="2">
        <v>65.20837732385155</v>
      </c>
      <c r="F76" s="2">
        <v>29.70000134999621</v>
      </c>
      <c r="G76" s="2" t="s">
        <v>99</v>
      </c>
      <c r="H76" s="2" t="s">
        <v>10</v>
      </c>
    </row>
    <row r="77" spans="1:8" s="2" customFormat="1" x14ac:dyDescent="0.25">
      <c r="A77" s="2">
        <v>2020</v>
      </c>
      <c r="B77" s="2" t="s">
        <v>100</v>
      </c>
      <c r="C77" s="2">
        <v>2.5990358346155942</v>
      </c>
      <c r="D77" s="2">
        <v>0.4587381667730438</v>
      </c>
      <c r="E77" s="2">
        <v>0</v>
      </c>
      <c r="F77" s="2">
        <v>0</v>
      </c>
      <c r="G77" s="2" t="s">
        <v>26</v>
      </c>
      <c r="H77" s="2" t="s">
        <v>13</v>
      </c>
    </row>
    <row r="78" spans="1:8" s="2" customFormat="1" x14ac:dyDescent="0.25">
      <c r="A78" s="2">
        <v>2020</v>
      </c>
      <c r="B78" s="2" t="s">
        <v>101</v>
      </c>
      <c r="C78" s="2">
        <v>68.32087151545781</v>
      </c>
      <c r="D78" s="2">
        <v>225.54639480812691</v>
      </c>
      <c r="E78" s="2">
        <v>232.05512732532409</v>
      </c>
      <c r="F78" s="2">
        <v>364.25527142077408</v>
      </c>
      <c r="G78" s="2" t="s">
        <v>9</v>
      </c>
      <c r="H78" s="2" t="s">
        <v>10</v>
      </c>
    </row>
    <row r="79" spans="1:8" s="2" customFormat="1" x14ac:dyDescent="0.25">
      <c r="A79" s="2">
        <v>2020</v>
      </c>
      <c r="B79" s="2" t="s">
        <v>15</v>
      </c>
      <c r="C79" s="2">
        <v>13.78822215054427</v>
      </c>
      <c r="D79" s="2">
        <v>27.373899978232359</v>
      </c>
      <c r="E79" s="2">
        <v>10.225322478407129</v>
      </c>
      <c r="F79" s="2">
        <v>6.4724820655661741</v>
      </c>
      <c r="G79" s="2" t="s">
        <v>16</v>
      </c>
      <c r="H79" s="2" t="s">
        <v>10</v>
      </c>
    </row>
    <row r="80" spans="1:8" s="2" customFormat="1" x14ac:dyDescent="0.25">
      <c r="A80" s="2">
        <v>2020</v>
      </c>
      <c r="B80" s="2" t="s">
        <v>102</v>
      </c>
      <c r="C80" s="2">
        <v>63.960730608763903</v>
      </c>
      <c r="D80" s="2">
        <v>203.48783882375369</v>
      </c>
      <c r="E80" s="2">
        <v>73.562595985926592</v>
      </c>
      <c r="F80" s="2">
        <v>11.30722712427594</v>
      </c>
      <c r="G80" s="2" t="s">
        <v>103</v>
      </c>
      <c r="H80" s="2" t="s">
        <v>13</v>
      </c>
    </row>
    <row r="81" spans="1:8" s="2" customFormat="1" x14ac:dyDescent="0.25">
      <c r="A81" s="2">
        <v>2020</v>
      </c>
      <c r="B81" s="2" t="s">
        <v>49</v>
      </c>
      <c r="C81" s="2">
        <v>54.927736395798121</v>
      </c>
      <c r="D81" s="2">
        <v>1765.6205937415971</v>
      </c>
      <c r="E81" s="2">
        <v>3896.4979719385678</v>
      </c>
      <c r="F81" s="2">
        <v>11674.477574924491</v>
      </c>
      <c r="G81" s="2" t="s">
        <v>9</v>
      </c>
      <c r="H81" s="2" t="s">
        <v>10</v>
      </c>
    </row>
    <row r="82" spans="1:8" s="2" customFormat="1" x14ac:dyDescent="0.25">
      <c r="A82" s="2">
        <v>2020</v>
      </c>
      <c r="B82" s="2" t="s">
        <v>105</v>
      </c>
      <c r="C82" s="2">
        <v>0.67040950590294701</v>
      </c>
      <c r="D82" s="2">
        <v>21.207490317957781</v>
      </c>
      <c r="E82" s="2">
        <v>4.2510903332123728</v>
      </c>
      <c r="F82" s="2">
        <v>2.422724108563052</v>
      </c>
      <c r="G82" s="2" t="s">
        <v>59</v>
      </c>
      <c r="H82" s="2" t="s">
        <v>13</v>
      </c>
    </row>
    <row r="83" spans="1:8" s="2" customFormat="1" x14ac:dyDescent="0.25">
      <c r="A83" s="2">
        <v>2020</v>
      </c>
      <c r="B83" s="2" t="s">
        <v>19</v>
      </c>
      <c r="C83" s="2">
        <v>3.3777212823475562</v>
      </c>
      <c r="D83" s="2">
        <v>26.763282469059291</v>
      </c>
      <c r="E83" s="2">
        <v>62.548927136647052</v>
      </c>
      <c r="F83" s="2">
        <v>13.875935381428491</v>
      </c>
      <c r="G83" s="2" t="s">
        <v>20</v>
      </c>
      <c r="H83" s="2" t="s">
        <v>175</v>
      </c>
    </row>
    <row r="84" spans="1:8" s="2" customFormat="1" x14ac:dyDescent="0.25">
      <c r="A84" s="2">
        <v>2020</v>
      </c>
      <c r="B84" s="2" t="s">
        <v>106</v>
      </c>
      <c r="C84" s="2">
        <v>0</v>
      </c>
      <c r="D84" s="2">
        <v>15.638576022763541</v>
      </c>
      <c r="E84" s="2">
        <v>56.984679410492113</v>
      </c>
      <c r="F84" s="2">
        <v>82.239907654730729</v>
      </c>
      <c r="G84" s="2" t="s">
        <v>104</v>
      </c>
      <c r="H84" s="2" t="s">
        <v>24</v>
      </c>
    </row>
    <row r="85" spans="1:8" s="2" customFormat="1" x14ac:dyDescent="0.25">
      <c r="A85" s="2">
        <v>2020</v>
      </c>
      <c r="B85" s="2" t="s">
        <v>107</v>
      </c>
      <c r="C85" s="2">
        <v>45.480136679147691</v>
      </c>
      <c r="D85" s="2">
        <v>107.633998467143</v>
      </c>
      <c r="E85" s="2">
        <v>55.813296540394767</v>
      </c>
      <c r="F85" s="2">
        <v>20.952934248651559</v>
      </c>
      <c r="G85" s="2" t="s">
        <v>67</v>
      </c>
      <c r="H85" s="2" t="s">
        <v>10</v>
      </c>
    </row>
    <row r="86" spans="1:8" s="2" customFormat="1" x14ac:dyDescent="0.25">
      <c r="A86" s="2">
        <v>2020</v>
      </c>
      <c r="B86" s="2" t="s">
        <v>108</v>
      </c>
      <c r="C86" s="2">
        <v>19.980004049991621</v>
      </c>
      <c r="D86" s="2">
        <v>235.76899144624559</v>
      </c>
      <c r="E86" s="2">
        <v>97.757051434242229</v>
      </c>
      <c r="F86" s="2">
        <v>74.165776414125276</v>
      </c>
      <c r="G86" s="2" t="s">
        <v>9</v>
      </c>
      <c r="H86" s="2" t="s">
        <v>10</v>
      </c>
    </row>
    <row r="87" spans="1:8" s="2" customFormat="1" x14ac:dyDescent="0.25">
      <c r="A87" s="2">
        <v>2020</v>
      </c>
      <c r="B87" s="2" t="s">
        <v>109</v>
      </c>
      <c r="C87" s="2">
        <v>0.56142947867241266</v>
      </c>
      <c r="D87" s="2">
        <v>1.396120758099255</v>
      </c>
      <c r="E87" s="2">
        <v>0</v>
      </c>
      <c r="F87" s="2">
        <v>0</v>
      </c>
      <c r="G87" s="2" t="s">
        <v>104</v>
      </c>
      <c r="H87" s="2" t="s">
        <v>175</v>
      </c>
    </row>
    <row r="88" spans="1:8" s="2" customFormat="1" x14ac:dyDescent="0.25">
      <c r="A88" s="2">
        <v>2020</v>
      </c>
      <c r="B88" s="2" t="s">
        <v>110</v>
      </c>
      <c r="C88" s="2">
        <v>9.1852911062419693</v>
      </c>
      <c r="D88" s="2">
        <v>35.278306922699429</v>
      </c>
      <c r="E88" s="2">
        <v>12.763173481050121</v>
      </c>
      <c r="F88" s="2">
        <v>3.4332137677031409</v>
      </c>
      <c r="G88" s="2" t="s">
        <v>67</v>
      </c>
      <c r="H88" s="2" t="s">
        <v>175</v>
      </c>
    </row>
    <row r="89" spans="1:8" s="2" customFormat="1" x14ac:dyDescent="0.25">
      <c r="A89" s="2">
        <v>2020</v>
      </c>
      <c r="B89" s="2" t="s">
        <v>111</v>
      </c>
      <c r="C89" s="2">
        <v>0.27</v>
      </c>
      <c r="D89" s="2">
        <v>22.917572273622241</v>
      </c>
      <c r="E89" s="2">
        <v>47.813404318706297</v>
      </c>
      <c r="F89" s="2">
        <v>96.410933716195615</v>
      </c>
      <c r="G89" s="2" t="s">
        <v>52</v>
      </c>
      <c r="H89" s="2" t="s">
        <v>24</v>
      </c>
    </row>
    <row r="90" spans="1:8" s="2" customFormat="1" x14ac:dyDescent="0.25">
      <c r="A90" s="2">
        <v>2020</v>
      </c>
      <c r="B90" s="2" t="s">
        <v>112</v>
      </c>
      <c r="C90" s="2">
        <v>1.7936511760091169</v>
      </c>
      <c r="D90" s="2">
        <v>5.3563044195793132</v>
      </c>
      <c r="E90" s="2">
        <v>3.1398668657459612E-2</v>
      </c>
      <c r="F90" s="2">
        <v>0</v>
      </c>
      <c r="G90" s="2" t="s">
        <v>113</v>
      </c>
      <c r="H90" s="2" t="s">
        <v>175</v>
      </c>
    </row>
    <row r="91" spans="1:8" s="2" customFormat="1" x14ac:dyDescent="0.25">
      <c r="A91" s="2">
        <v>2020</v>
      </c>
      <c r="B91" s="2" t="s">
        <v>114</v>
      </c>
      <c r="C91" s="2">
        <v>534.98987815007365</v>
      </c>
      <c r="D91" s="2">
        <v>2170.3218891198749</v>
      </c>
      <c r="E91" s="2">
        <v>825.35945839685712</v>
      </c>
      <c r="F91" s="2">
        <v>619.20945751897943</v>
      </c>
      <c r="G91" s="2" t="s">
        <v>9</v>
      </c>
      <c r="H91" s="2" t="s">
        <v>10</v>
      </c>
    </row>
    <row r="92" spans="1:8" s="2" customFormat="1" x14ac:dyDescent="0.25">
      <c r="A92" s="2">
        <v>2020</v>
      </c>
      <c r="B92" s="2" t="s">
        <v>115</v>
      </c>
      <c r="C92" s="2">
        <v>0.09</v>
      </c>
      <c r="D92" s="2">
        <v>7.2369349612657743</v>
      </c>
      <c r="E92" s="2">
        <v>21.741687809635959</v>
      </c>
      <c r="F92" s="2">
        <v>11.33667706277358</v>
      </c>
      <c r="G92" s="2" t="s">
        <v>104</v>
      </c>
      <c r="H92" s="2" t="s">
        <v>175</v>
      </c>
    </row>
    <row r="93" spans="1:8" s="2" customFormat="1" x14ac:dyDescent="0.25">
      <c r="A93" s="2">
        <v>2020</v>
      </c>
      <c r="B93" s="2" t="s">
        <v>116</v>
      </c>
      <c r="C93" s="2">
        <v>3.1858423168185812</v>
      </c>
      <c r="D93" s="2">
        <v>65.197187959024092</v>
      </c>
      <c r="E93" s="2">
        <v>27.711297242509509</v>
      </c>
      <c r="F93" s="2">
        <v>15.56035756299689</v>
      </c>
      <c r="G93" s="2" t="s">
        <v>52</v>
      </c>
      <c r="H93" s="2" t="s">
        <v>13</v>
      </c>
    </row>
    <row r="94" spans="1:8" s="2" customFormat="1" x14ac:dyDescent="0.25">
      <c r="A94" s="2">
        <v>2020</v>
      </c>
      <c r="B94" s="2" t="s">
        <v>117</v>
      </c>
      <c r="C94" s="2">
        <v>4.0500000000000007</v>
      </c>
      <c r="D94" s="2">
        <v>67.316182898689306</v>
      </c>
      <c r="E94" s="2">
        <v>124.20276161050489</v>
      </c>
      <c r="F94" s="2">
        <v>265.59015042256749</v>
      </c>
      <c r="G94" s="2" t="s">
        <v>26</v>
      </c>
      <c r="H94" s="2" t="s">
        <v>13</v>
      </c>
    </row>
    <row r="95" spans="1:8" s="2" customFormat="1" x14ac:dyDescent="0.25">
      <c r="A95" s="2">
        <v>2020</v>
      </c>
      <c r="B95" s="2" t="s">
        <v>118</v>
      </c>
      <c r="C95" s="2">
        <v>37.576296609746556</v>
      </c>
      <c r="D95" s="2">
        <v>126.2662886808545</v>
      </c>
      <c r="E95" s="2">
        <v>39.722740067821697</v>
      </c>
      <c r="F95" s="2">
        <v>7.4757135074844863</v>
      </c>
      <c r="G95" s="2" t="s">
        <v>119</v>
      </c>
      <c r="H95" s="2" t="s">
        <v>24</v>
      </c>
    </row>
    <row r="96" spans="1:8" s="2" customFormat="1" x14ac:dyDescent="0.25">
      <c r="A96" s="2">
        <v>2020</v>
      </c>
      <c r="B96" s="2" t="s">
        <v>120</v>
      </c>
      <c r="C96" s="2">
        <v>0</v>
      </c>
      <c r="D96" s="2">
        <v>0</v>
      </c>
      <c r="E96" s="2">
        <v>0.81637654736587151</v>
      </c>
      <c r="F96" s="2">
        <v>11.758416380171161</v>
      </c>
      <c r="G96" s="2" t="s">
        <v>104</v>
      </c>
      <c r="H96" s="2" t="s">
        <v>24</v>
      </c>
    </row>
    <row r="97" spans="1:8" s="2" customFormat="1" x14ac:dyDescent="0.25">
      <c r="A97" s="2">
        <v>2020</v>
      </c>
      <c r="B97" s="2" t="s">
        <v>22</v>
      </c>
      <c r="C97" s="2">
        <v>0.2700001499997452</v>
      </c>
      <c r="D97" s="2">
        <v>0.17835439031722869</v>
      </c>
      <c r="E97" s="2">
        <v>0.81438272160226499</v>
      </c>
      <c r="F97" s="2">
        <v>0.34100526065985648</v>
      </c>
      <c r="G97" s="2" t="s">
        <v>9</v>
      </c>
      <c r="H97" s="2" t="s">
        <v>175</v>
      </c>
    </row>
    <row r="98" spans="1:8" s="2" customFormat="1" x14ac:dyDescent="0.25">
      <c r="A98" s="2">
        <v>2020</v>
      </c>
      <c r="B98" s="2" t="s">
        <v>121</v>
      </c>
      <c r="C98" s="2">
        <v>0</v>
      </c>
      <c r="D98" s="2">
        <v>1.643191633954628</v>
      </c>
      <c r="E98" s="2">
        <v>1.7482298268083161</v>
      </c>
      <c r="F98" s="2">
        <v>0</v>
      </c>
      <c r="G98" s="2" t="s">
        <v>26</v>
      </c>
      <c r="H98" s="2" t="s">
        <v>13</v>
      </c>
    </row>
    <row r="99" spans="1:8" s="2" customFormat="1" x14ac:dyDescent="0.25">
      <c r="A99" s="2">
        <v>2020</v>
      </c>
      <c r="B99" s="2" t="s">
        <v>122</v>
      </c>
      <c r="C99" s="2">
        <v>0</v>
      </c>
      <c r="D99" s="2">
        <v>1.276988539448549</v>
      </c>
      <c r="E99" s="2">
        <v>1.164054520510055</v>
      </c>
      <c r="F99" s="2">
        <v>8.190804949919045E-2</v>
      </c>
      <c r="G99" s="2" t="s">
        <v>26</v>
      </c>
      <c r="H99" s="2" t="s">
        <v>175</v>
      </c>
    </row>
    <row r="100" spans="1:8" s="2" customFormat="1" x14ac:dyDescent="0.25">
      <c r="A100" s="2">
        <v>2020</v>
      </c>
      <c r="B100" s="2" t="s">
        <v>50</v>
      </c>
      <c r="C100" s="2">
        <v>110.1310030476144</v>
      </c>
      <c r="D100" s="2">
        <v>263.41312545010572</v>
      </c>
      <c r="E100" s="2">
        <v>41.801848566766417</v>
      </c>
      <c r="F100" s="2">
        <v>4.61140345557705</v>
      </c>
      <c r="G100" s="2" t="s">
        <v>16</v>
      </c>
      <c r="H100" s="2" t="s">
        <v>10</v>
      </c>
    </row>
    <row r="101" spans="1:8" s="2" customFormat="1" x14ac:dyDescent="0.25">
      <c r="A101" s="2">
        <v>2020</v>
      </c>
      <c r="B101" s="2" t="s">
        <v>123</v>
      </c>
      <c r="C101" s="2">
        <v>16.700634040171089</v>
      </c>
      <c r="D101" s="2">
        <v>43.235111505825579</v>
      </c>
      <c r="E101" s="2">
        <v>21.66830364165352</v>
      </c>
      <c r="F101" s="2">
        <v>20.051733046835249</v>
      </c>
      <c r="G101" s="2" t="s">
        <v>124</v>
      </c>
      <c r="H101" s="2" t="s">
        <v>175</v>
      </c>
    </row>
    <row r="102" spans="1:8" s="2" customFormat="1" x14ac:dyDescent="0.25">
      <c r="A102" s="2">
        <v>2020</v>
      </c>
      <c r="B102" s="2" t="s">
        <v>125</v>
      </c>
      <c r="C102" s="2">
        <v>9.5028181475703821</v>
      </c>
      <c r="D102" s="2">
        <v>38.160535273507897</v>
      </c>
      <c r="E102" s="2">
        <v>9.9672146089924279E-3</v>
      </c>
      <c r="F102" s="2">
        <v>0</v>
      </c>
      <c r="G102" s="2" t="s">
        <v>104</v>
      </c>
      <c r="H102" s="2" t="s">
        <v>24</v>
      </c>
    </row>
    <row r="103" spans="1:8" s="2" customFormat="1" x14ac:dyDescent="0.25">
      <c r="A103" s="2">
        <v>2020</v>
      </c>
      <c r="B103" s="2" t="s">
        <v>51</v>
      </c>
      <c r="C103" s="2">
        <v>10.666771913542201</v>
      </c>
      <c r="D103" s="2">
        <v>148.52218492512699</v>
      </c>
      <c r="E103" s="2">
        <v>141.06144708678869</v>
      </c>
      <c r="F103" s="2">
        <v>67.811174188308186</v>
      </c>
      <c r="G103" s="2" t="s">
        <v>52</v>
      </c>
      <c r="H103" s="2" t="s">
        <v>13</v>
      </c>
    </row>
    <row r="104" spans="1:8" s="2" customFormat="1" x14ac:dyDescent="0.25">
      <c r="A104" s="2">
        <v>2020</v>
      </c>
      <c r="B104" s="2" t="s">
        <v>126</v>
      </c>
      <c r="C104" s="2">
        <v>26.058042382819458</v>
      </c>
      <c r="D104" s="2">
        <v>139.13467950994149</v>
      </c>
      <c r="E104" s="2">
        <v>13.13356617697284</v>
      </c>
      <c r="F104" s="2">
        <v>2.97</v>
      </c>
      <c r="G104" s="2" t="s">
        <v>9</v>
      </c>
      <c r="H104" s="2" t="s">
        <v>10</v>
      </c>
    </row>
    <row r="105" spans="1:8" s="2" customFormat="1" x14ac:dyDescent="0.25">
      <c r="A105" s="2">
        <v>2020</v>
      </c>
      <c r="B105" s="2" t="s">
        <v>127</v>
      </c>
      <c r="C105" s="2">
        <v>0</v>
      </c>
      <c r="D105" s="2">
        <v>3.805351535424975</v>
      </c>
      <c r="E105" s="2">
        <v>1.453735518282969</v>
      </c>
      <c r="F105" s="2">
        <v>3.8768212057590721</v>
      </c>
      <c r="G105" s="2" t="s">
        <v>104</v>
      </c>
      <c r="H105" s="2" t="s">
        <v>24</v>
      </c>
    </row>
    <row r="106" spans="1:8" s="2" customFormat="1" x14ac:dyDescent="0.25">
      <c r="A106" s="2">
        <v>2020</v>
      </c>
      <c r="B106" s="2" t="s">
        <v>128</v>
      </c>
      <c r="C106" s="2">
        <v>8.4274939919944586E-2</v>
      </c>
      <c r="D106" s="2">
        <v>1.7571443827656821</v>
      </c>
      <c r="E106" s="2">
        <v>0.80300197434251441</v>
      </c>
      <c r="F106" s="2">
        <v>0.09</v>
      </c>
      <c r="G106" s="2" t="s">
        <v>83</v>
      </c>
      <c r="H106" s="2" t="s">
        <v>175</v>
      </c>
    </row>
    <row r="107" spans="1:8" s="2" customFormat="1" x14ac:dyDescent="0.25">
      <c r="A107" s="2">
        <v>2020</v>
      </c>
      <c r="B107" s="2" t="s">
        <v>129</v>
      </c>
      <c r="C107" s="2">
        <v>0.65321040000121455</v>
      </c>
      <c r="D107" s="2">
        <v>2.4542770499982529</v>
      </c>
      <c r="E107" s="2">
        <v>0.17999955000126441</v>
      </c>
      <c r="F107" s="2">
        <v>0</v>
      </c>
      <c r="G107" s="2" t="s">
        <v>83</v>
      </c>
      <c r="H107" s="2" t="s">
        <v>175</v>
      </c>
    </row>
    <row r="108" spans="1:8" s="2" customFormat="1" x14ac:dyDescent="0.25">
      <c r="A108" s="2">
        <v>2020</v>
      </c>
      <c r="B108" s="2" t="s">
        <v>130</v>
      </c>
      <c r="C108" s="2">
        <v>0</v>
      </c>
      <c r="D108" s="2">
        <v>0</v>
      </c>
      <c r="E108" s="2">
        <v>1.4424936010133069</v>
      </c>
      <c r="F108" s="2">
        <v>6.8873397779340682</v>
      </c>
      <c r="G108" s="2" t="s">
        <v>104</v>
      </c>
      <c r="H108" s="2" t="s">
        <v>24</v>
      </c>
    </row>
    <row r="109" spans="1:8" s="2" customFormat="1" x14ac:dyDescent="0.25">
      <c r="A109" s="2">
        <v>2020</v>
      </c>
      <c r="B109" s="2" t="s">
        <v>131</v>
      </c>
      <c r="C109" s="2">
        <v>253.379689091042</v>
      </c>
      <c r="D109" s="2">
        <v>1287.597982756613</v>
      </c>
      <c r="E109" s="2">
        <v>474.97722738396618</v>
      </c>
      <c r="F109" s="2">
        <v>180.65839859315699</v>
      </c>
      <c r="G109" s="2" t="s">
        <v>9</v>
      </c>
      <c r="H109" s="2" t="s">
        <v>10</v>
      </c>
    </row>
    <row r="110" spans="1:8" s="2" customFormat="1" x14ac:dyDescent="0.25">
      <c r="A110" s="2">
        <v>2020</v>
      </c>
      <c r="B110" s="2" t="s">
        <v>132</v>
      </c>
      <c r="C110" s="2">
        <v>2.249426687208457</v>
      </c>
      <c r="D110" s="2">
        <v>44.488952922662612</v>
      </c>
      <c r="E110" s="2">
        <v>31.48417079425619</v>
      </c>
      <c r="F110" s="2">
        <v>4.6639910903533153</v>
      </c>
      <c r="G110" s="2" t="s">
        <v>26</v>
      </c>
      <c r="H110" s="2" t="s">
        <v>175</v>
      </c>
    </row>
    <row r="111" spans="1:8" s="2" customFormat="1" x14ac:dyDescent="0.25">
      <c r="A111" s="2">
        <v>2020</v>
      </c>
      <c r="B111" s="2" t="s">
        <v>82</v>
      </c>
      <c r="C111" s="2">
        <v>7.1017632470370167</v>
      </c>
      <c r="D111" s="2">
        <v>8.1341762991268904</v>
      </c>
      <c r="E111" s="2">
        <v>0.09</v>
      </c>
      <c r="F111" s="2">
        <v>0</v>
      </c>
      <c r="G111" s="2" t="s">
        <v>83</v>
      </c>
      <c r="H111" s="2" t="s">
        <v>175</v>
      </c>
    </row>
    <row r="112" spans="1:8" x14ac:dyDescent="0.25">
      <c r="A112">
        <v>2020</v>
      </c>
      <c r="B112" t="s">
        <v>84</v>
      </c>
      <c r="C112">
        <v>21.3009033896478</v>
      </c>
      <c r="D112">
        <v>24.410560285837111</v>
      </c>
      <c r="E112">
        <v>0.27</v>
      </c>
      <c r="F112">
        <v>0</v>
      </c>
      <c r="G112" t="s">
        <v>85</v>
      </c>
      <c r="H112" t="s">
        <v>10</v>
      </c>
    </row>
    <row r="113" spans="1:8" x14ac:dyDescent="0.25">
      <c r="A113">
        <v>2020</v>
      </c>
      <c r="B113" t="s">
        <v>133</v>
      </c>
      <c r="C113">
        <v>0</v>
      </c>
      <c r="D113">
        <v>0.67387218033737983</v>
      </c>
      <c r="E113">
        <v>6.6640911390385504</v>
      </c>
      <c r="F113">
        <v>3.2312913844208428</v>
      </c>
      <c r="G113" t="s">
        <v>79</v>
      </c>
      <c r="H113" t="s">
        <v>175</v>
      </c>
    </row>
    <row r="114" spans="1:8" x14ac:dyDescent="0.25">
      <c r="A114">
        <v>2020</v>
      </c>
      <c r="B114" t="s">
        <v>29</v>
      </c>
      <c r="C114">
        <v>19.232282845801599</v>
      </c>
      <c r="D114">
        <v>251.22950019692851</v>
      </c>
      <c r="E114">
        <v>200.81801853432049</v>
      </c>
      <c r="F114">
        <v>26.672900383319728</v>
      </c>
      <c r="G114" t="s">
        <v>9</v>
      </c>
      <c r="H114" t="s">
        <v>10</v>
      </c>
    </row>
    <row r="115" spans="1:8" x14ac:dyDescent="0.25">
      <c r="A115">
        <v>2020</v>
      </c>
      <c r="B115" t="s">
        <v>134</v>
      </c>
      <c r="C115">
        <v>0</v>
      </c>
      <c r="D115">
        <v>0</v>
      </c>
      <c r="E115">
        <v>3.6366032133219699</v>
      </c>
      <c r="F115">
        <v>42.375682671131607</v>
      </c>
      <c r="G115" t="s">
        <v>104</v>
      </c>
      <c r="H115" t="s">
        <v>24</v>
      </c>
    </row>
    <row r="116" spans="1:8" x14ac:dyDescent="0.25">
      <c r="A116">
        <v>2020</v>
      </c>
      <c r="B116" t="s">
        <v>135</v>
      </c>
      <c r="C116">
        <v>0</v>
      </c>
      <c r="D116">
        <v>5.4557576506890344</v>
      </c>
      <c r="E116">
        <v>11.478141237634331</v>
      </c>
      <c r="F116">
        <v>12.33591850286901</v>
      </c>
      <c r="G116" t="s">
        <v>104</v>
      </c>
      <c r="H116" t="s">
        <v>24</v>
      </c>
    </row>
    <row r="117" spans="1:8" x14ac:dyDescent="0.25">
      <c r="A117">
        <v>2020</v>
      </c>
      <c r="B117" t="s">
        <v>136</v>
      </c>
      <c r="C117">
        <v>0.42087915199679871</v>
      </c>
      <c r="D117">
        <v>5.0668201931212664</v>
      </c>
      <c r="E117">
        <v>15.146700154033089</v>
      </c>
      <c r="F117">
        <v>64.863817880674489</v>
      </c>
      <c r="G117" t="s">
        <v>104</v>
      </c>
      <c r="H117" t="s">
        <v>24</v>
      </c>
    </row>
    <row r="118" spans="1:8" x14ac:dyDescent="0.25">
      <c r="A118">
        <v>2020</v>
      </c>
      <c r="B118" t="s">
        <v>137</v>
      </c>
      <c r="C118">
        <v>1.8899982811049201</v>
      </c>
      <c r="D118">
        <v>1.0800000253604569</v>
      </c>
      <c r="E118">
        <v>0</v>
      </c>
      <c r="F118">
        <v>0</v>
      </c>
      <c r="G118" t="s">
        <v>138</v>
      </c>
      <c r="H118" t="s">
        <v>10</v>
      </c>
    </row>
    <row r="119" spans="1:8" x14ac:dyDescent="0.25">
      <c r="A119">
        <v>2020</v>
      </c>
      <c r="B119" t="s">
        <v>30</v>
      </c>
      <c r="C119">
        <v>19.97797653042058</v>
      </c>
      <c r="D119">
        <v>229.4802204675525</v>
      </c>
      <c r="E119">
        <v>752.94046634347899</v>
      </c>
      <c r="F119">
        <v>474.94529116902203</v>
      </c>
      <c r="G119" t="s">
        <v>31</v>
      </c>
      <c r="H119" t="s">
        <v>24</v>
      </c>
    </row>
    <row r="120" spans="1:8" x14ac:dyDescent="0.25">
      <c r="A120">
        <v>2020</v>
      </c>
      <c r="B120" t="s">
        <v>32</v>
      </c>
      <c r="C120">
        <v>126.8196800820036</v>
      </c>
      <c r="D120">
        <v>265.26667738629448</v>
      </c>
      <c r="E120">
        <v>49.444696831996943</v>
      </c>
      <c r="F120">
        <v>0.54</v>
      </c>
      <c r="G120" t="s">
        <v>9</v>
      </c>
      <c r="H120" t="s">
        <v>10</v>
      </c>
    </row>
    <row r="121" spans="1:8" x14ac:dyDescent="0.25">
      <c r="A121">
        <v>2020</v>
      </c>
      <c r="B121" t="s">
        <v>86</v>
      </c>
      <c r="C121">
        <v>0.45</v>
      </c>
      <c r="D121">
        <v>0</v>
      </c>
      <c r="E121">
        <v>0</v>
      </c>
      <c r="F121">
        <v>0</v>
      </c>
      <c r="G121" t="s">
        <v>79</v>
      </c>
      <c r="H121" t="s">
        <v>175</v>
      </c>
    </row>
    <row r="122" spans="1:8" x14ac:dyDescent="0.25">
      <c r="A122">
        <v>2020</v>
      </c>
      <c r="B122" t="s">
        <v>33</v>
      </c>
      <c r="C122">
        <v>621.92316813370462</v>
      </c>
      <c r="D122">
        <v>2337.01220642721</v>
      </c>
      <c r="E122">
        <v>1627.1851186462341</v>
      </c>
      <c r="F122">
        <v>370.1011647489243</v>
      </c>
      <c r="G122" t="s">
        <v>34</v>
      </c>
      <c r="H122" t="s">
        <v>10</v>
      </c>
    </row>
    <row r="123" spans="1:8" x14ac:dyDescent="0.25">
      <c r="A123">
        <v>2020</v>
      </c>
      <c r="B123" t="s">
        <v>139</v>
      </c>
      <c r="C123">
        <v>4.4276194412194698</v>
      </c>
      <c r="D123">
        <v>43.128517245012773</v>
      </c>
      <c r="E123">
        <v>24.711311598850781</v>
      </c>
      <c r="F123">
        <v>2.443305296258873</v>
      </c>
      <c r="G123" t="s">
        <v>104</v>
      </c>
      <c r="H123" t="s">
        <v>175</v>
      </c>
    </row>
    <row r="124" spans="1:8" x14ac:dyDescent="0.25">
      <c r="A124">
        <v>2020</v>
      </c>
      <c r="B124" t="s">
        <v>140</v>
      </c>
      <c r="C124">
        <v>0</v>
      </c>
      <c r="D124">
        <v>8.9999850000254816E-2</v>
      </c>
      <c r="E124">
        <v>4.9382501564738863</v>
      </c>
      <c r="F124">
        <v>4.1345769505475269</v>
      </c>
      <c r="G124" t="s">
        <v>79</v>
      </c>
      <c r="H124" t="s">
        <v>24</v>
      </c>
    </row>
    <row r="125" spans="1:8" x14ac:dyDescent="0.25">
      <c r="A125">
        <v>2020</v>
      </c>
      <c r="B125" t="s">
        <v>141</v>
      </c>
      <c r="C125">
        <v>3.665748402000284</v>
      </c>
      <c r="D125">
        <v>6.6119186232118441</v>
      </c>
      <c r="E125">
        <v>3.4405136659406158E-2</v>
      </c>
      <c r="F125">
        <v>0</v>
      </c>
      <c r="G125" t="s">
        <v>52</v>
      </c>
      <c r="H125" t="s">
        <v>175</v>
      </c>
    </row>
    <row r="126" spans="1:8" x14ac:dyDescent="0.25">
      <c r="A126">
        <v>2020</v>
      </c>
      <c r="B126" t="s">
        <v>142</v>
      </c>
      <c r="C126">
        <v>3.24</v>
      </c>
      <c r="D126">
        <v>61.645575645883397</v>
      </c>
      <c r="E126">
        <v>29.94427591746026</v>
      </c>
      <c r="F126">
        <v>38.194633501753152</v>
      </c>
      <c r="G126" t="s">
        <v>104</v>
      </c>
      <c r="H126" t="s">
        <v>24</v>
      </c>
    </row>
    <row r="127" spans="1:8" x14ac:dyDescent="0.25">
      <c r="A127">
        <v>2020</v>
      </c>
      <c r="B127" t="s">
        <v>38</v>
      </c>
      <c r="C127">
        <v>0.81000044999923559</v>
      </c>
      <c r="D127">
        <v>0.52200783262292394</v>
      </c>
      <c r="E127">
        <v>2.5699825067276238</v>
      </c>
      <c r="F127">
        <v>1.028011943782182</v>
      </c>
      <c r="G127" t="s">
        <v>26</v>
      </c>
      <c r="H127" t="s">
        <v>13</v>
      </c>
    </row>
    <row r="128" spans="1:8" x14ac:dyDescent="0.25">
      <c r="A128">
        <v>2020</v>
      </c>
      <c r="B128" t="s">
        <v>143</v>
      </c>
      <c r="C128">
        <v>820.50178389941993</v>
      </c>
      <c r="D128">
        <v>1541.267070697492</v>
      </c>
      <c r="E128">
        <v>686.59810942998899</v>
      </c>
      <c r="F128">
        <v>276.1319629933671</v>
      </c>
      <c r="G128" t="s">
        <v>144</v>
      </c>
      <c r="H128" t="s">
        <v>10</v>
      </c>
    </row>
    <row r="129" spans="1:8" x14ac:dyDescent="0.25">
      <c r="A129">
        <v>2020</v>
      </c>
      <c r="B129" t="s">
        <v>145</v>
      </c>
      <c r="C129">
        <v>0</v>
      </c>
      <c r="D129">
        <v>9.6712676339965942E-2</v>
      </c>
      <c r="E129">
        <v>1.413112486365953</v>
      </c>
      <c r="F129">
        <v>0.75729989999905234</v>
      </c>
      <c r="G129" t="s">
        <v>79</v>
      </c>
      <c r="H129" t="s">
        <v>175</v>
      </c>
    </row>
    <row r="130" spans="1:8" x14ac:dyDescent="0.25">
      <c r="A130">
        <v>2020</v>
      </c>
      <c r="B130" t="s">
        <v>146</v>
      </c>
      <c r="C130">
        <v>2.1614354992604201</v>
      </c>
      <c r="D130">
        <v>4.6728619149106441E-2</v>
      </c>
      <c r="E130">
        <v>0</v>
      </c>
      <c r="F130">
        <v>0</v>
      </c>
      <c r="G130" t="s">
        <v>9</v>
      </c>
      <c r="H130" t="s">
        <v>10</v>
      </c>
    </row>
    <row r="131" spans="1:8" x14ac:dyDescent="0.25">
      <c r="A131">
        <v>2020</v>
      </c>
      <c r="B131" t="s">
        <v>147</v>
      </c>
      <c r="C131">
        <v>0</v>
      </c>
      <c r="D131">
        <v>2.5263983953636451E-2</v>
      </c>
      <c r="E131">
        <v>0.21282929235297679</v>
      </c>
      <c r="F131">
        <v>2.9082571208387198</v>
      </c>
      <c r="G131" t="s">
        <v>83</v>
      </c>
      <c r="H131" t="s">
        <v>175</v>
      </c>
    </row>
    <row r="132" spans="1:8" x14ac:dyDescent="0.25">
      <c r="A132">
        <v>2020</v>
      </c>
      <c r="B132" t="s">
        <v>148</v>
      </c>
      <c r="C132">
        <v>0.53508090949118625</v>
      </c>
      <c r="D132">
        <v>7.4846949929725337</v>
      </c>
      <c r="E132">
        <v>7.3547821233284747</v>
      </c>
      <c r="F132">
        <v>5.2164157512114881</v>
      </c>
      <c r="G132" t="s">
        <v>83</v>
      </c>
      <c r="H132" t="s">
        <v>175</v>
      </c>
    </row>
    <row r="133" spans="1:8" x14ac:dyDescent="0.25">
      <c r="A133">
        <v>2020</v>
      </c>
      <c r="B133" t="s">
        <v>149</v>
      </c>
      <c r="C133">
        <v>3.5587254188145758</v>
      </c>
      <c r="D133">
        <v>5.7640437028329012</v>
      </c>
      <c r="E133">
        <v>0</v>
      </c>
      <c r="F133">
        <v>0</v>
      </c>
      <c r="G133" t="s">
        <v>104</v>
      </c>
      <c r="H133" t="s">
        <v>175</v>
      </c>
    </row>
    <row r="134" spans="1:8" x14ac:dyDescent="0.25">
      <c r="A134">
        <v>2020</v>
      </c>
      <c r="B134" t="s">
        <v>150</v>
      </c>
      <c r="C134">
        <v>9.0582304642592621</v>
      </c>
      <c r="D134">
        <v>22.284893190998019</v>
      </c>
      <c r="E134">
        <v>0.47205479657949811</v>
      </c>
      <c r="F134">
        <v>0</v>
      </c>
      <c r="G134" t="s">
        <v>83</v>
      </c>
      <c r="H134" t="s">
        <v>175</v>
      </c>
    </row>
    <row r="135" spans="1:8" x14ac:dyDescent="0.25">
      <c r="A135">
        <v>2020</v>
      </c>
      <c r="B135" t="s">
        <v>151</v>
      </c>
      <c r="C135">
        <v>0</v>
      </c>
      <c r="D135">
        <v>1.276988539448549</v>
      </c>
      <c r="E135">
        <v>1.164054520510055</v>
      </c>
      <c r="F135">
        <v>8.190804949919045E-2</v>
      </c>
      <c r="G135" t="s">
        <v>79</v>
      </c>
      <c r="H135" t="s">
        <v>175</v>
      </c>
    </row>
    <row r="136" spans="1:8" x14ac:dyDescent="0.25">
      <c r="A136">
        <v>2020</v>
      </c>
      <c r="B136" t="s">
        <v>152</v>
      </c>
      <c r="C136">
        <v>0</v>
      </c>
      <c r="D136">
        <v>0.15252987378048311</v>
      </c>
      <c r="E136">
        <v>3.4684203045566231</v>
      </c>
      <c r="F136">
        <v>9.4831636269951556</v>
      </c>
      <c r="G136" t="s">
        <v>153</v>
      </c>
      <c r="H136" t="s">
        <v>175</v>
      </c>
    </row>
    <row r="137" spans="1:8" x14ac:dyDescent="0.25">
      <c r="A137">
        <v>2020</v>
      </c>
      <c r="B137" t="s">
        <v>154</v>
      </c>
      <c r="C137">
        <v>0.16012260000407699</v>
      </c>
      <c r="D137">
        <v>0.50545861758124166</v>
      </c>
      <c r="E137">
        <v>5.1516176672141434</v>
      </c>
      <c r="F137">
        <v>10.07370425562612</v>
      </c>
      <c r="G137" t="s">
        <v>104</v>
      </c>
      <c r="H137" t="s">
        <v>10</v>
      </c>
    </row>
    <row r="138" spans="1:8" x14ac:dyDescent="0.25">
      <c r="A138">
        <v>2020</v>
      </c>
      <c r="B138" t="s">
        <v>155</v>
      </c>
      <c r="C138">
        <v>0</v>
      </c>
      <c r="D138">
        <v>0</v>
      </c>
      <c r="E138">
        <v>1.097455864013956E-2</v>
      </c>
      <c r="F138">
        <v>0</v>
      </c>
      <c r="G138" t="s">
        <v>83</v>
      </c>
      <c r="H138" t="s">
        <v>24</v>
      </c>
    </row>
    <row r="139" spans="1:8" x14ac:dyDescent="0.25">
      <c r="A139">
        <v>2020</v>
      </c>
      <c r="B139" t="s">
        <v>156</v>
      </c>
      <c r="C139">
        <v>159.86227488842101</v>
      </c>
      <c r="D139">
        <v>898.61683044715414</v>
      </c>
      <c r="E139">
        <v>488.39853678506688</v>
      </c>
      <c r="F139">
        <v>229.73872578142871</v>
      </c>
      <c r="G139" t="s">
        <v>156</v>
      </c>
      <c r="H139" t="s">
        <v>24</v>
      </c>
    </row>
    <row r="140" spans="1:8" x14ac:dyDescent="0.25">
      <c r="A140">
        <v>2020</v>
      </c>
      <c r="B140" t="s">
        <v>53</v>
      </c>
      <c r="C140">
        <v>256.58873616338332</v>
      </c>
      <c r="D140">
        <v>2399.8653117678459</v>
      </c>
      <c r="E140">
        <v>2251.652582543506</v>
      </c>
      <c r="F140">
        <v>2971.662284451621</v>
      </c>
      <c r="G140" t="s">
        <v>52</v>
      </c>
      <c r="H140" t="s">
        <v>13</v>
      </c>
    </row>
    <row r="141" spans="1:8" x14ac:dyDescent="0.25">
      <c r="A141">
        <v>2020</v>
      </c>
      <c r="B141" t="s">
        <v>54</v>
      </c>
      <c r="C141">
        <v>106.83521146280771</v>
      </c>
      <c r="D141">
        <v>867.7029978126028</v>
      </c>
      <c r="E141">
        <v>774.91785892643748</v>
      </c>
      <c r="F141">
        <v>993.97740065415701</v>
      </c>
      <c r="G141" t="s">
        <v>26</v>
      </c>
      <c r="H141" t="s">
        <v>175</v>
      </c>
    </row>
    <row r="142" spans="1:8" x14ac:dyDescent="0.25">
      <c r="A142">
        <v>2020</v>
      </c>
      <c r="B142" t="s">
        <v>157</v>
      </c>
      <c r="C142">
        <v>0</v>
      </c>
      <c r="D142">
        <v>0</v>
      </c>
      <c r="E142">
        <v>0.26692084468881888</v>
      </c>
      <c r="F142">
        <v>3.8700004499987362</v>
      </c>
      <c r="G142" t="s">
        <v>153</v>
      </c>
      <c r="H142" t="s">
        <v>175</v>
      </c>
    </row>
    <row r="143" spans="1:8" x14ac:dyDescent="0.25">
      <c r="A143">
        <v>2020</v>
      </c>
      <c r="B143" t="s">
        <v>158</v>
      </c>
      <c r="C143">
        <v>0</v>
      </c>
      <c r="D143">
        <v>1.2123040291450551</v>
      </c>
      <c r="E143">
        <v>2.8624792913354291</v>
      </c>
      <c r="F143">
        <v>8.9512315528005075</v>
      </c>
      <c r="G143" t="s">
        <v>104</v>
      </c>
      <c r="H143" t="s">
        <v>24</v>
      </c>
    </row>
    <row r="144" spans="1:8" x14ac:dyDescent="0.25">
      <c r="A144">
        <v>2020</v>
      </c>
      <c r="B144" t="s">
        <v>159</v>
      </c>
      <c r="C144">
        <v>26.66822724152124</v>
      </c>
      <c r="D144">
        <v>104.0332236376144</v>
      </c>
      <c r="E144">
        <v>37.690901224581523</v>
      </c>
      <c r="F144">
        <v>10.32831556326402</v>
      </c>
      <c r="G144" t="s">
        <v>104</v>
      </c>
      <c r="H144" t="s">
        <v>24</v>
      </c>
    </row>
    <row r="145" spans="1:8" x14ac:dyDescent="0.25">
      <c r="A145">
        <v>2020</v>
      </c>
      <c r="B145" t="s">
        <v>160</v>
      </c>
      <c r="C145">
        <v>1.82054915111564</v>
      </c>
      <c r="D145">
        <v>24.265225863308501</v>
      </c>
      <c r="E145">
        <v>21.217989293134838</v>
      </c>
      <c r="F145">
        <v>30.486129555807612</v>
      </c>
      <c r="G145" t="s">
        <v>104</v>
      </c>
      <c r="H145" t="s">
        <v>175</v>
      </c>
    </row>
    <row r="146" spans="1:8" x14ac:dyDescent="0.25">
      <c r="A146">
        <v>2020</v>
      </c>
      <c r="B146" t="s">
        <v>161</v>
      </c>
      <c r="C146">
        <v>34.540989568091831</v>
      </c>
      <c r="D146">
        <v>173.67619078629011</v>
      </c>
      <c r="E146">
        <v>81.410348000933539</v>
      </c>
      <c r="F146">
        <v>238.4166660924335</v>
      </c>
      <c r="G146" t="s">
        <v>26</v>
      </c>
      <c r="H146" t="s">
        <v>13</v>
      </c>
    </row>
    <row r="147" spans="1:8" x14ac:dyDescent="0.25">
      <c r="A147">
        <v>2020</v>
      </c>
      <c r="B147" t="s">
        <v>162</v>
      </c>
      <c r="C147">
        <v>0</v>
      </c>
      <c r="D147">
        <v>2.630488073107063E-2</v>
      </c>
      <c r="E147">
        <v>0</v>
      </c>
      <c r="F147">
        <v>0</v>
      </c>
      <c r="G147" t="s">
        <v>79</v>
      </c>
      <c r="H147" t="s">
        <v>175</v>
      </c>
    </row>
    <row r="148" spans="1:8" x14ac:dyDescent="0.25">
      <c r="A148">
        <v>2020</v>
      </c>
      <c r="B148" t="s">
        <v>94</v>
      </c>
      <c r="C148">
        <v>0</v>
      </c>
      <c r="D148">
        <v>0.26999955000076448</v>
      </c>
      <c r="E148">
        <v>14.86778901173351</v>
      </c>
      <c r="F148">
        <v>11.68842895234442</v>
      </c>
      <c r="G148" t="s">
        <v>9</v>
      </c>
      <c r="H148" t="s">
        <v>10</v>
      </c>
    </row>
    <row r="149" spans="1:8" x14ac:dyDescent="0.25">
      <c r="A149">
        <v>2020</v>
      </c>
      <c r="B149" t="s">
        <v>55</v>
      </c>
      <c r="C149">
        <v>126.0461013727753</v>
      </c>
      <c r="D149">
        <v>576.99753017202897</v>
      </c>
      <c r="E149">
        <v>805.29939347204447</v>
      </c>
      <c r="F149">
        <v>288.5186656450345</v>
      </c>
      <c r="G149" t="s">
        <v>56</v>
      </c>
      <c r="H149" t="s">
        <v>13</v>
      </c>
    </row>
    <row r="150" spans="1:8" x14ac:dyDescent="0.25">
      <c r="A150">
        <v>2020</v>
      </c>
      <c r="B150" t="s">
        <v>163</v>
      </c>
      <c r="C150">
        <v>0.27000044999923561</v>
      </c>
      <c r="D150">
        <v>5.2738658519167974</v>
      </c>
      <c r="E150">
        <v>4.4748839361618504</v>
      </c>
      <c r="F150">
        <v>2.956370228721938</v>
      </c>
      <c r="G150" t="s">
        <v>164</v>
      </c>
      <c r="H150" t="s">
        <v>21</v>
      </c>
    </row>
    <row r="151" spans="1:8" x14ac:dyDescent="0.25">
      <c r="A151">
        <v>2020</v>
      </c>
      <c r="B151" t="s">
        <v>95</v>
      </c>
      <c r="C151">
        <v>1.025164142229704</v>
      </c>
      <c r="D151">
        <v>5.4073267239577483</v>
      </c>
      <c r="E151">
        <v>2.315369746870391E-2</v>
      </c>
      <c r="F151">
        <v>0</v>
      </c>
      <c r="G151" t="s">
        <v>9</v>
      </c>
      <c r="H151" t="s">
        <v>10</v>
      </c>
    </row>
    <row r="152" spans="1:8" x14ac:dyDescent="0.25">
      <c r="A152">
        <v>2020</v>
      </c>
      <c r="B152" t="s">
        <v>47</v>
      </c>
      <c r="C152">
        <v>0</v>
      </c>
      <c r="D152">
        <v>5.1907391684260312E-2</v>
      </c>
      <c r="E152">
        <v>0.1928130529765715</v>
      </c>
      <c r="F152">
        <v>0</v>
      </c>
      <c r="G152" t="s">
        <v>48</v>
      </c>
      <c r="H152" t="s">
        <v>10</v>
      </c>
    </row>
    <row r="153" spans="1:8" x14ac:dyDescent="0.25">
      <c r="A153">
        <v>2020</v>
      </c>
      <c r="B153" t="s">
        <v>165</v>
      </c>
      <c r="C153">
        <v>0</v>
      </c>
      <c r="D153">
        <v>0</v>
      </c>
      <c r="E153">
        <v>1.3500008999984709</v>
      </c>
      <c r="F153">
        <v>5.2976700565102641</v>
      </c>
      <c r="G153" t="s">
        <v>104</v>
      </c>
      <c r="H153" t="s">
        <v>24</v>
      </c>
    </row>
    <row r="154" spans="1:8" x14ac:dyDescent="0.25">
      <c r="A154">
        <v>2020</v>
      </c>
      <c r="B154" t="s">
        <v>166</v>
      </c>
      <c r="C154">
        <v>42.765562680536817</v>
      </c>
      <c r="D154">
        <v>269.85252316973219</v>
      </c>
      <c r="E154">
        <v>121.1787116603402</v>
      </c>
      <c r="F154">
        <v>30.457648590971431</v>
      </c>
      <c r="G154" t="s">
        <v>9</v>
      </c>
      <c r="H154" t="s">
        <v>10</v>
      </c>
    </row>
    <row r="155" spans="1:8" x14ac:dyDescent="0.25">
      <c r="A155">
        <v>2020</v>
      </c>
      <c r="B155" t="s">
        <v>167</v>
      </c>
      <c r="C155">
        <v>0.67975179775409145</v>
      </c>
      <c r="D155">
        <v>3.7698914001587749</v>
      </c>
      <c r="E155">
        <v>9.7197550541985862</v>
      </c>
      <c r="F155">
        <v>0.76418322917471948</v>
      </c>
      <c r="G155" t="s">
        <v>168</v>
      </c>
      <c r="H155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8A8B2-660D-468F-91D1-A833D25EDC00}">
  <dimension ref="A1:U26"/>
  <sheetViews>
    <sheetView workbookViewId="0">
      <selection activeCell="I21" sqref="I21"/>
    </sheetView>
  </sheetViews>
  <sheetFormatPr defaultRowHeight="15" x14ac:dyDescent="0.25"/>
  <cols>
    <col min="1" max="1" width="8.28515625" bestFit="1" customWidth="1"/>
    <col min="2" max="2" width="15.7109375" bestFit="1" customWidth="1"/>
    <col min="3" max="5" width="4.140625" customWidth="1"/>
    <col min="6" max="6" width="14.140625" customWidth="1"/>
    <col min="7" max="7" width="8.28515625" bestFit="1" customWidth="1"/>
    <col min="8" max="8" width="10.28515625" bestFit="1" customWidth="1"/>
    <col min="9" max="9" width="15.5703125" bestFit="1" customWidth="1"/>
    <col min="10" max="10" width="14.140625" bestFit="1" customWidth="1"/>
    <col min="11" max="11" width="14.140625" style="21" customWidth="1"/>
    <col min="12" max="12" width="8.28515625" bestFit="1" customWidth="1"/>
    <col min="13" max="13" width="10.28515625" bestFit="1" customWidth="1"/>
    <col min="14" max="14" width="15.5703125" bestFit="1" customWidth="1"/>
    <col min="15" max="15" width="14.140625" bestFit="1" customWidth="1"/>
    <col min="16" max="16" width="14.140625" style="21" customWidth="1"/>
    <col min="17" max="17" width="8.28515625" bestFit="1" customWidth="1"/>
    <col min="18" max="18" width="10.28515625" bestFit="1" customWidth="1"/>
    <col min="19" max="19" width="15.5703125" bestFit="1" customWidth="1"/>
    <col min="20" max="20" width="14.140625" bestFit="1" customWidth="1"/>
    <col min="21" max="21" width="7.5703125" bestFit="1" customWidth="1"/>
  </cols>
  <sheetData>
    <row r="1" spans="1:21" s="3" customFormat="1" x14ac:dyDescent="0.25">
      <c r="A1" s="3" t="s">
        <v>169</v>
      </c>
      <c r="B1" s="3" t="s">
        <v>176</v>
      </c>
      <c r="C1" s="3" t="s">
        <v>182</v>
      </c>
      <c r="D1" s="3" t="s">
        <v>183</v>
      </c>
      <c r="E1" s="3" t="s">
        <v>184</v>
      </c>
      <c r="G1" s="3" t="s">
        <v>169</v>
      </c>
      <c r="H1" s="3" t="s">
        <v>185</v>
      </c>
      <c r="I1" s="3" t="s">
        <v>186</v>
      </c>
      <c r="J1" s="3" t="s">
        <v>187</v>
      </c>
      <c r="K1" s="20"/>
      <c r="L1" s="3" t="s">
        <v>169</v>
      </c>
      <c r="M1" s="3" t="s">
        <v>188</v>
      </c>
      <c r="N1" s="3" t="s">
        <v>189</v>
      </c>
      <c r="O1" s="3" t="s">
        <v>190</v>
      </c>
      <c r="P1" s="20"/>
      <c r="Q1" s="3" t="s">
        <v>169</v>
      </c>
      <c r="R1" s="3" t="s">
        <v>191</v>
      </c>
      <c r="S1" s="3" t="s">
        <v>192</v>
      </c>
      <c r="T1" s="3" t="s">
        <v>193</v>
      </c>
      <c r="U1" s="3" t="s">
        <v>181</v>
      </c>
    </row>
    <row r="2" spans="1:21" x14ac:dyDescent="0.25">
      <c r="A2" s="23">
        <v>2003</v>
      </c>
      <c r="B2" s="17" t="s">
        <v>177</v>
      </c>
      <c r="C2" s="17">
        <v>4879</v>
      </c>
      <c r="D2" s="17">
        <v>4879</v>
      </c>
      <c r="E2" s="18">
        <v>100</v>
      </c>
      <c r="G2" s="23">
        <v>2003</v>
      </c>
      <c r="H2" s="17">
        <v>3598</v>
      </c>
      <c r="I2" s="17">
        <v>3598</v>
      </c>
      <c r="J2" s="18">
        <v>100</v>
      </c>
      <c r="L2" s="16">
        <v>2003</v>
      </c>
      <c r="M2" s="17">
        <v>544</v>
      </c>
      <c r="N2" s="17">
        <v>544</v>
      </c>
      <c r="O2" s="18">
        <v>100</v>
      </c>
      <c r="Q2" s="16">
        <v>2003</v>
      </c>
      <c r="R2" s="17">
        <v>250</v>
      </c>
      <c r="S2" s="17">
        <v>250</v>
      </c>
      <c r="T2" s="17">
        <v>100</v>
      </c>
      <c r="U2" s="18" t="s">
        <v>179</v>
      </c>
    </row>
    <row r="3" spans="1:21" x14ac:dyDescent="0.25">
      <c r="A3" s="24">
        <v>2008</v>
      </c>
      <c r="B3" s="5" t="s">
        <v>178</v>
      </c>
      <c r="C3" s="5">
        <v>429</v>
      </c>
      <c r="D3" s="5">
        <v>6724</v>
      </c>
      <c r="E3" s="6">
        <v>6.38</v>
      </c>
      <c r="G3" s="24">
        <v>2008</v>
      </c>
      <c r="H3" s="5">
        <v>524</v>
      </c>
      <c r="I3" s="5">
        <v>6914</v>
      </c>
      <c r="J3" s="6">
        <v>7.58</v>
      </c>
      <c r="L3" s="4">
        <v>2008</v>
      </c>
      <c r="M3" s="5">
        <v>198</v>
      </c>
      <c r="N3" s="5">
        <v>2853</v>
      </c>
      <c r="O3" s="6">
        <v>6.96</v>
      </c>
      <c r="Q3" s="4">
        <v>2008</v>
      </c>
      <c r="R3" s="5">
        <v>37.9</v>
      </c>
      <c r="S3" s="5">
        <v>600</v>
      </c>
      <c r="T3" s="5">
        <v>6.31</v>
      </c>
      <c r="U3" s="6" t="s">
        <v>179</v>
      </c>
    </row>
    <row r="4" spans="1:21" x14ac:dyDescent="0.25">
      <c r="A4" s="25">
        <v>2008</v>
      </c>
      <c r="B4" s="8" t="s">
        <v>177</v>
      </c>
      <c r="C4" s="8">
        <v>6295</v>
      </c>
      <c r="D4" s="8">
        <v>6724</v>
      </c>
      <c r="E4" s="9">
        <v>93.6</v>
      </c>
      <c r="G4" s="25">
        <v>2008</v>
      </c>
      <c r="H4" s="8">
        <v>6390</v>
      </c>
      <c r="I4" s="8">
        <v>6914</v>
      </c>
      <c r="J4" s="9">
        <v>92.4</v>
      </c>
      <c r="L4" s="7">
        <v>2008</v>
      </c>
      <c r="M4" s="8">
        <v>2655</v>
      </c>
      <c r="N4" s="8">
        <v>2853</v>
      </c>
      <c r="O4" s="9">
        <v>93</v>
      </c>
      <c r="Q4" s="7">
        <v>2008</v>
      </c>
      <c r="R4" s="8">
        <v>562</v>
      </c>
      <c r="S4" s="8">
        <v>600</v>
      </c>
      <c r="T4" s="8">
        <v>93.7</v>
      </c>
      <c r="U4" s="9" t="s">
        <v>179</v>
      </c>
    </row>
    <row r="5" spans="1:21" x14ac:dyDescent="0.25">
      <c r="A5" s="24">
        <v>2009</v>
      </c>
      <c r="B5" s="5" t="s">
        <v>178</v>
      </c>
      <c r="C5" s="5">
        <v>2206</v>
      </c>
      <c r="D5" s="5">
        <v>2317</v>
      </c>
      <c r="E5" s="6">
        <v>95.2</v>
      </c>
      <c r="G5" s="24">
        <v>2009</v>
      </c>
      <c r="H5" s="5">
        <v>922</v>
      </c>
      <c r="I5" s="5">
        <v>974</v>
      </c>
      <c r="J5" s="6">
        <v>94.7</v>
      </c>
      <c r="L5" s="4">
        <v>2009</v>
      </c>
      <c r="M5" s="5">
        <v>261</v>
      </c>
      <c r="N5" s="5">
        <v>306</v>
      </c>
      <c r="O5" s="6">
        <v>85.2</v>
      </c>
      <c r="Q5" s="4">
        <v>2009</v>
      </c>
      <c r="R5" s="5">
        <v>248</v>
      </c>
      <c r="S5" s="5">
        <v>283</v>
      </c>
      <c r="T5" s="5">
        <v>87.9</v>
      </c>
      <c r="U5" s="6" t="s">
        <v>179</v>
      </c>
    </row>
    <row r="6" spans="1:21" s="2" customFormat="1" x14ac:dyDescent="0.25">
      <c r="A6" s="26">
        <v>2009</v>
      </c>
      <c r="B6" s="11" t="s">
        <v>177</v>
      </c>
      <c r="C6" s="11">
        <v>111</v>
      </c>
      <c r="D6" s="11">
        <v>2317</v>
      </c>
      <c r="E6" s="12">
        <v>4.79</v>
      </c>
      <c r="G6" s="26">
        <v>2009</v>
      </c>
      <c r="H6" s="11">
        <v>51.5</v>
      </c>
      <c r="I6" s="11">
        <v>974</v>
      </c>
      <c r="J6" s="12">
        <v>5.29</v>
      </c>
      <c r="K6" s="19"/>
      <c r="L6" s="10">
        <v>2009</v>
      </c>
      <c r="M6" s="11">
        <v>45.3</v>
      </c>
      <c r="N6" s="11">
        <v>306</v>
      </c>
      <c r="O6" s="12">
        <v>14.8</v>
      </c>
      <c r="P6" s="19"/>
      <c r="Q6" s="10">
        <v>2009</v>
      </c>
      <c r="R6" s="11">
        <v>34.299999999999997</v>
      </c>
      <c r="S6" s="11">
        <v>283</v>
      </c>
      <c r="T6" s="11">
        <v>12.1</v>
      </c>
      <c r="U6" s="12" t="s">
        <v>179</v>
      </c>
    </row>
    <row r="7" spans="1:21" s="2" customFormat="1" x14ac:dyDescent="0.25">
      <c r="A7" s="27">
        <v>2014</v>
      </c>
      <c r="B7" s="14" t="s">
        <v>178</v>
      </c>
      <c r="C7" s="14">
        <v>128</v>
      </c>
      <c r="D7" s="14">
        <v>171</v>
      </c>
      <c r="E7" s="15">
        <v>74.900000000000006</v>
      </c>
      <c r="G7" s="27">
        <v>2014</v>
      </c>
      <c r="H7" s="14">
        <v>259</v>
      </c>
      <c r="I7" s="14">
        <v>625</v>
      </c>
      <c r="J7" s="15">
        <v>41.4</v>
      </c>
      <c r="K7" s="19"/>
      <c r="L7" s="13">
        <v>2014</v>
      </c>
      <c r="M7" s="14">
        <v>0</v>
      </c>
      <c r="N7" s="14">
        <v>0</v>
      </c>
      <c r="O7" s="15">
        <v>0</v>
      </c>
      <c r="P7" s="19"/>
      <c r="Q7" s="13">
        <v>2014</v>
      </c>
      <c r="R7" s="14">
        <v>0</v>
      </c>
      <c r="S7" s="14">
        <v>0</v>
      </c>
      <c r="T7" s="14">
        <v>0</v>
      </c>
      <c r="U7" s="15" t="s">
        <v>180</v>
      </c>
    </row>
    <row r="8" spans="1:21" s="2" customFormat="1" x14ac:dyDescent="0.25">
      <c r="A8" s="26">
        <v>2014</v>
      </c>
      <c r="B8" s="11" t="s">
        <v>177</v>
      </c>
      <c r="C8" s="11">
        <v>42.9</v>
      </c>
      <c r="D8" s="11">
        <v>171</v>
      </c>
      <c r="E8" s="12">
        <v>25.1</v>
      </c>
      <c r="G8" s="26">
        <v>2014</v>
      </c>
      <c r="H8" s="11">
        <v>367</v>
      </c>
      <c r="I8" s="11">
        <v>625</v>
      </c>
      <c r="J8" s="12">
        <v>58.6</v>
      </c>
      <c r="K8" s="19"/>
      <c r="L8" s="10">
        <v>2014</v>
      </c>
      <c r="M8" s="11">
        <v>0</v>
      </c>
      <c r="N8" s="11">
        <v>0</v>
      </c>
      <c r="O8" s="12">
        <v>0</v>
      </c>
      <c r="P8" s="19"/>
      <c r="Q8" s="10">
        <v>2014</v>
      </c>
      <c r="R8" s="11">
        <v>0</v>
      </c>
      <c r="S8" s="11">
        <v>0</v>
      </c>
      <c r="T8" s="11">
        <v>0</v>
      </c>
      <c r="U8" s="12" t="s">
        <v>180</v>
      </c>
    </row>
    <row r="9" spans="1:21" s="2" customFormat="1" x14ac:dyDescent="0.25">
      <c r="A9" s="27">
        <v>2016</v>
      </c>
      <c r="B9" s="14" t="s">
        <v>178</v>
      </c>
      <c r="C9" s="14">
        <v>466</v>
      </c>
      <c r="D9" s="14">
        <v>1829</v>
      </c>
      <c r="E9" s="15">
        <v>25.5</v>
      </c>
      <c r="G9" s="27">
        <v>2016</v>
      </c>
      <c r="H9" s="14">
        <v>2261</v>
      </c>
      <c r="I9" s="14">
        <v>8700</v>
      </c>
      <c r="J9" s="15">
        <v>26</v>
      </c>
      <c r="K9" s="19"/>
      <c r="L9" s="13">
        <v>2016</v>
      </c>
      <c r="M9" s="14">
        <v>1079</v>
      </c>
      <c r="N9" s="14">
        <v>1994</v>
      </c>
      <c r="O9" s="15">
        <v>54.1</v>
      </c>
      <c r="P9" s="19"/>
      <c r="Q9" s="13">
        <v>2016</v>
      </c>
      <c r="R9" s="14">
        <v>298</v>
      </c>
      <c r="S9" s="14">
        <v>361</v>
      </c>
      <c r="T9" s="14">
        <v>82.6</v>
      </c>
      <c r="U9" s="15" t="s">
        <v>179</v>
      </c>
    </row>
    <row r="10" spans="1:21" s="2" customFormat="1" x14ac:dyDescent="0.25">
      <c r="A10" s="26">
        <v>2016</v>
      </c>
      <c r="B10" s="11" t="s">
        <v>177</v>
      </c>
      <c r="C10" s="11">
        <v>1363</v>
      </c>
      <c r="D10" s="11">
        <v>1829</v>
      </c>
      <c r="E10" s="12">
        <v>74.5</v>
      </c>
      <c r="G10" s="26">
        <v>2016</v>
      </c>
      <c r="H10" s="11">
        <v>6439</v>
      </c>
      <c r="I10" s="11">
        <v>8700</v>
      </c>
      <c r="J10" s="12">
        <v>74</v>
      </c>
      <c r="K10" s="19"/>
      <c r="L10" s="10">
        <v>2016</v>
      </c>
      <c r="M10" s="11">
        <v>914</v>
      </c>
      <c r="N10" s="11">
        <v>1994</v>
      </c>
      <c r="O10" s="12">
        <v>45.9</v>
      </c>
      <c r="P10" s="19"/>
      <c r="Q10" s="10">
        <v>2016</v>
      </c>
      <c r="R10" s="11">
        <v>63</v>
      </c>
      <c r="S10" s="11">
        <v>361</v>
      </c>
      <c r="T10" s="11">
        <v>17.399999999999999</v>
      </c>
      <c r="U10" s="12" t="s">
        <v>179</v>
      </c>
    </row>
    <row r="11" spans="1:21" s="2" customFormat="1" x14ac:dyDescent="0.25">
      <c r="A11" s="27">
        <v>2017</v>
      </c>
      <c r="B11" s="14" t="s">
        <v>178</v>
      </c>
      <c r="C11" s="14">
        <v>182</v>
      </c>
      <c r="D11" s="14">
        <v>226</v>
      </c>
      <c r="E11" s="15">
        <v>80.5</v>
      </c>
      <c r="G11" s="27">
        <v>2017</v>
      </c>
      <c r="H11" s="14">
        <v>243</v>
      </c>
      <c r="I11" s="14">
        <v>348</v>
      </c>
      <c r="J11" s="15">
        <v>69.7</v>
      </c>
      <c r="K11" s="19"/>
      <c r="L11" s="13">
        <v>2017</v>
      </c>
      <c r="M11" s="14">
        <v>170</v>
      </c>
      <c r="N11" s="14">
        <v>216</v>
      </c>
      <c r="O11" s="15">
        <v>78.7</v>
      </c>
      <c r="P11" s="19"/>
      <c r="Q11" s="13">
        <v>2017</v>
      </c>
      <c r="R11" s="14">
        <v>115</v>
      </c>
      <c r="S11" s="14">
        <v>142</v>
      </c>
      <c r="T11" s="14">
        <v>81.2</v>
      </c>
      <c r="U11" s="15" t="s">
        <v>180</v>
      </c>
    </row>
    <row r="12" spans="1:21" s="2" customFormat="1" x14ac:dyDescent="0.25">
      <c r="A12" s="26">
        <v>2017</v>
      </c>
      <c r="B12" s="11" t="s">
        <v>177</v>
      </c>
      <c r="C12" s="11">
        <v>44</v>
      </c>
      <c r="D12" s="11">
        <v>226</v>
      </c>
      <c r="E12" s="12">
        <v>19.5</v>
      </c>
      <c r="G12" s="26">
        <v>2017</v>
      </c>
      <c r="H12" s="11">
        <v>105</v>
      </c>
      <c r="I12" s="11">
        <v>348</v>
      </c>
      <c r="J12" s="12">
        <v>30.3</v>
      </c>
      <c r="K12" s="19"/>
      <c r="L12" s="10">
        <v>2017</v>
      </c>
      <c r="M12" s="11">
        <v>46</v>
      </c>
      <c r="N12" s="11">
        <v>216</v>
      </c>
      <c r="O12" s="12">
        <v>21.3</v>
      </c>
      <c r="P12" s="19"/>
      <c r="Q12" s="10">
        <v>2017</v>
      </c>
      <c r="R12" s="11">
        <v>26.8</v>
      </c>
      <c r="S12" s="11">
        <v>142</v>
      </c>
      <c r="T12" s="11">
        <v>18.8</v>
      </c>
      <c r="U12" s="12" t="s">
        <v>179</v>
      </c>
    </row>
    <row r="13" spans="1:21" x14ac:dyDescent="0.25">
      <c r="A13" s="23">
        <v>2019</v>
      </c>
      <c r="B13" s="17" t="s">
        <v>178</v>
      </c>
      <c r="C13" s="17">
        <v>80.8</v>
      </c>
      <c r="D13" s="17">
        <v>80.8</v>
      </c>
      <c r="E13" s="18">
        <v>100</v>
      </c>
      <c r="G13" s="23">
        <v>2019</v>
      </c>
      <c r="H13" s="17">
        <v>0</v>
      </c>
      <c r="I13" s="17">
        <v>0</v>
      </c>
      <c r="J13" s="18">
        <v>0</v>
      </c>
      <c r="L13" s="16">
        <v>2019</v>
      </c>
      <c r="M13" s="17">
        <v>0</v>
      </c>
      <c r="N13" s="17">
        <v>0</v>
      </c>
      <c r="O13" s="18">
        <v>0</v>
      </c>
      <c r="Q13" s="16">
        <v>2019</v>
      </c>
      <c r="R13" s="17">
        <v>0</v>
      </c>
      <c r="S13" s="17">
        <v>0</v>
      </c>
      <c r="T13" s="17">
        <v>0</v>
      </c>
      <c r="U13" s="18" t="s">
        <v>180</v>
      </c>
    </row>
    <row r="14" spans="1:21" x14ac:dyDescent="0.25">
      <c r="A14" s="24">
        <v>2020</v>
      </c>
      <c r="B14" s="5" t="s">
        <v>178</v>
      </c>
      <c r="C14" s="5">
        <v>933</v>
      </c>
      <c r="D14" s="5">
        <v>3926</v>
      </c>
      <c r="E14" s="6">
        <v>23.8</v>
      </c>
      <c r="G14" s="24">
        <v>2020</v>
      </c>
      <c r="H14" s="5">
        <v>6334</v>
      </c>
      <c r="I14" s="5">
        <v>17453</v>
      </c>
      <c r="J14" s="6">
        <v>36.299999999999997</v>
      </c>
      <c r="L14" s="4">
        <v>2020</v>
      </c>
      <c r="M14" s="5">
        <v>6010</v>
      </c>
      <c r="N14" s="5">
        <v>14448</v>
      </c>
      <c r="O14" s="6">
        <v>41.6</v>
      </c>
      <c r="Q14" s="4">
        <v>2020</v>
      </c>
      <c r="R14" s="5">
        <v>6071</v>
      </c>
      <c r="S14" s="5">
        <v>19775</v>
      </c>
      <c r="T14" s="5">
        <v>30.7</v>
      </c>
      <c r="U14" s="6" t="s">
        <v>179</v>
      </c>
    </row>
    <row r="15" spans="1:21" x14ac:dyDescent="0.25">
      <c r="A15" s="25">
        <v>2020</v>
      </c>
      <c r="B15" s="8" t="s">
        <v>177</v>
      </c>
      <c r="C15" s="8">
        <v>2992</v>
      </c>
      <c r="D15" s="8">
        <v>3926</v>
      </c>
      <c r="E15" s="9">
        <v>76.2</v>
      </c>
      <c r="G15" s="25">
        <v>2020</v>
      </c>
      <c r="H15" s="8">
        <v>11119</v>
      </c>
      <c r="I15" s="8">
        <v>17453</v>
      </c>
      <c r="J15" s="9">
        <v>63.7</v>
      </c>
      <c r="L15" s="7">
        <v>2020</v>
      </c>
      <c r="M15" s="8">
        <v>8438</v>
      </c>
      <c r="N15" s="8">
        <v>14448</v>
      </c>
      <c r="O15" s="9">
        <v>58.4</v>
      </c>
      <c r="Q15" s="7">
        <v>2020</v>
      </c>
      <c r="R15" s="8">
        <v>13704</v>
      </c>
      <c r="S15" s="8">
        <v>19775</v>
      </c>
      <c r="T15" s="8">
        <v>69.3</v>
      </c>
      <c r="U15" s="9" t="s">
        <v>179</v>
      </c>
    </row>
    <row r="18" spans="9:9" x14ac:dyDescent="0.25">
      <c r="I18" t="s">
        <v>194</v>
      </c>
    </row>
    <row r="19" spans="9:9" x14ac:dyDescent="0.25">
      <c r="I19" t="s">
        <v>195</v>
      </c>
    </row>
    <row r="20" spans="9:9" x14ac:dyDescent="0.25">
      <c r="I20" t="s">
        <v>196</v>
      </c>
    </row>
    <row r="21" spans="9:9" x14ac:dyDescent="0.25">
      <c r="I21" t="s">
        <v>197</v>
      </c>
    </row>
    <row r="22" spans="9:9" x14ac:dyDescent="0.25">
      <c r="I22" t="s">
        <v>198</v>
      </c>
    </row>
    <row r="23" spans="9:9" x14ac:dyDescent="0.25">
      <c r="I23" t="s">
        <v>200</v>
      </c>
    </row>
    <row r="24" spans="9:9" x14ac:dyDescent="0.25">
      <c r="I24" t="s">
        <v>199</v>
      </c>
    </row>
    <row r="25" spans="9:9" x14ac:dyDescent="0.25">
      <c r="I25" t="s">
        <v>201</v>
      </c>
    </row>
    <row r="26" spans="9:9" x14ac:dyDescent="0.25">
      <c r="I26" t="s">
        <v>202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CC565-BD34-4F88-B6BE-EE60C907D98D}">
  <dimension ref="A1:V20"/>
  <sheetViews>
    <sheetView tabSelected="1" zoomScale="123" workbookViewId="0">
      <selection activeCell="M18" sqref="M18"/>
    </sheetView>
  </sheetViews>
  <sheetFormatPr defaultRowHeight="15" x14ac:dyDescent="0.25"/>
  <cols>
    <col min="4" max="4" width="10.28515625" bestFit="1" customWidth="1"/>
    <col min="21" max="21" width="12.42578125" bestFit="1" customWidth="1"/>
  </cols>
  <sheetData>
    <row r="1" spans="1:22" x14ac:dyDescent="0.25">
      <c r="A1" s="38" t="s">
        <v>0</v>
      </c>
      <c r="B1" s="37" t="s">
        <v>217</v>
      </c>
      <c r="C1" s="44" t="s">
        <v>205</v>
      </c>
      <c r="D1" s="45"/>
      <c r="E1" s="45"/>
      <c r="F1" s="45"/>
      <c r="G1" s="45"/>
      <c r="H1" s="46"/>
      <c r="I1" s="44" t="s">
        <v>206</v>
      </c>
      <c r="J1" s="45"/>
      <c r="K1" s="45"/>
      <c r="L1" s="45"/>
      <c r="M1" s="45"/>
      <c r="N1" s="46"/>
      <c r="O1" s="44" t="s">
        <v>207</v>
      </c>
      <c r="P1" s="45"/>
      <c r="Q1" s="45"/>
      <c r="R1" s="45"/>
      <c r="S1" s="45"/>
      <c r="T1" s="46"/>
      <c r="U1" s="4"/>
      <c r="V1" s="6"/>
    </row>
    <row r="2" spans="1:22" x14ac:dyDescent="0.25">
      <c r="A2" s="38"/>
      <c r="B2" s="37"/>
      <c r="C2" s="30" t="s">
        <v>208</v>
      </c>
      <c r="D2" s="31"/>
      <c r="E2" s="31" t="s">
        <v>209</v>
      </c>
      <c r="F2" s="31"/>
      <c r="G2" s="31" t="s">
        <v>210</v>
      </c>
      <c r="H2" s="32"/>
      <c r="I2" s="30" t="s">
        <v>208</v>
      </c>
      <c r="J2" s="31"/>
      <c r="K2" s="31" t="s">
        <v>209</v>
      </c>
      <c r="L2" s="31"/>
      <c r="M2" s="31" t="s">
        <v>210</v>
      </c>
      <c r="N2" s="32"/>
      <c r="O2" s="30" t="s">
        <v>208</v>
      </c>
      <c r="P2" s="31"/>
      <c r="Q2" s="31" t="s">
        <v>209</v>
      </c>
      <c r="R2" s="31"/>
      <c r="S2" s="31" t="s">
        <v>210</v>
      </c>
      <c r="T2" s="32"/>
      <c r="U2" s="34" t="s">
        <v>215</v>
      </c>
      <c r="V2" s="33"/>
    </row>
    <row r="3" spans="1:22" x14ac:dyDescent="0.25">
      <c r="A3" s="39"/>
      <c r="B3" s="40"/>
      <c r="C3" s="41" t="s">
        <v>211</v>
      </c>
      <c r="D3" s="42" t="s">
        <v>212</v>
      </c>
      <c r="E3" s="42" t="s">
        <v>211</v>
      </c>
      <c r="F3" s="42" t="s">
        <v>212</v>
      </c>
      <c r="G3" s="42" t="s">
        <v>211</v>
      </c>
      <c r="H3" s="43" t="s">
        <v>212</v>
      </c>
      <c r="I3" s="41" t="s">
        <v>211</v>
      </c>
      <c r="J3" s="42" t="s">
        <v>212</v>
      </c>
      <c r="K3" s="42" t="s">
        <v>211</v>
      </c>
      <c r="L3" s="42" t="s">
        <v>212</v>
      </c>
      <c r="M3" s="42" t="s">
        <v>211</v>
      </c>
      <c r="N3" s="43" t="s">
        <v>212</v>
      </c>
      <c r="O3" s="41" t="s">
        <v>211</v>
      </c>
      <c r="P3" s="42" t="s">
        <v>212</v>
      </c>
      <c r="Q3" s="42" t="s">
        <v>211</v>
      </c>
      <c r="R3" s="42" t="s">
        <v>212</v>
      </c>
      <c r="S3" s="42" t="s">
        <v>211</v>
      </c>
      <c r="T3" s="43" t="s">
        <v>212</v>
      </c>
      <c r="U3" s="41" t="s">
        <v>213</v>
      </c>
      <c r="V3" s="43" t="s">
        <v>214</v>
      </c>
    </row>
    <row r="4" spans="1:22" x14ac:dyDescent="0.25">
      <c r="A4" s="35">
        <v>2003</v>
      </c>
      <c r="B4" s="36" t="s">
        <v>177</v>
      </c>
      <c r="C4" s="22"/>
      <c r="D4" s="21"/>
      <c r="E4" s="21"/>
      <c r="F4" s="21"/>
      <c r="G4" s="21"/>
      <c r="H4" s="33"/>
      <c r="I4" s="22"/>
      <c r="J4" s="21"/>
      <c r="K4" s="21"/>
      <c r="L4" s="21"/>
      <c r="M4" s="21"/>
      <c r="N4" s="33"/>
      <c r="O4" s="22"/>
      <c r="P4" s="21"/>
      <c r="Q4" s="21"/>
      <c r="R4" s="21"/>
      <c r="S4" s="21"/>
      <c r="T4" s="33"/>
      <c r="U4" s="22">
        <v>15</v>
      </c>
      <c r="V4" s="33">
        <f>SUM(U4,T4,R4,P4,N4,L4,J4,H4,F4,D4)</f>
        <v>15</v>
      </c>
    </row>
    <row r="5" spans="1:22" x14ac:dyDescent="0.25">
      <c r="A5" s="35"/>
      <c r="B5" s="36" t="s">
        <v>178</v>
      </c>
      <c r="C5" s="22"/>
      <c r="D5" s="21"/>
      <c r="E5" s="21"/>
      <c r="F5" s="21"/>
      <c r="G5" s="21"/>
      <c r="H5" s="33"/>
      <c r="I5" s="22"/>
      <c r="J5" s="21"/>
      <c r="K5" s="21"/>
      <c r="L5" s="21"/>
      <c r="M5" s="21"/>
      <c r="N5" s="33"/>
      <c r="O5" s="22"/>
      <c r="P5" s="21"/>
      <c r="Q5" s="21"/>
      <c r="R5" s="21"/>
      <c r="S5" s="21"/>
      <c r="T5" s="33"/>
      <c r="U5" s="22"/>
      <c r="V5" s="33"/>
    </row>
    <row r="6" spans="1:22" x14ac:dyDescent="0.25">
      <c r="A6" s="35">
        <v>2008</v>
      </c>
      <c r="B6" s="36" t="s">
        <v>177</v>
      </c>
      <c r="C6" s="22"/>
      <c r="D6" s="21"/>
      <c r="E6" s="21"/>
      <c r="F6" s="21"/>
      <c r="G6" s="21"/>
      <c r="H6" s="33"/>
      <c r="I6" s="22"/>
      <c r="J6" s="21"/>
      <c r="K6" s="21"/>
      <c r="L6" s="21"/>
      <c r="M6" s="21"/>
      <c r="N6" s="33"/>
      <c r="O6" s="22"/>
      <c r="P6" s="21"/>
      <c r="Q6" s="21"/>
      <c r="R6" s="21"/>
      <c r="S6" s="21"/>
      <c r="T6" s="33"/>
      <c r="U6" s="22">
        <v>15</v>
      </c>
      <c r="V6" s="33">
        <f t="shared" ref="V6:V18" si="0">SUM(U6,T6,R6,P6,N6,L6,J6,H6,F6,D6)</f>
        <v>15</v>
      </c>
    </row>
    <row r="7" spans="1:22" x14ac:dyDescent="0.25">
      <c r="A7" s="35"/>
      <c r="B7" s="36" t="s">
        <v>178</v>
      </c>
      <c r="C7" s="22"/>
      <c r="D7" s="21"/>
      <c r="E7" s="21"/>
      <c r="F7" s="21"/>
      <c r="G7" s="21"/>
      <c r="H7" s="33"/>
      <c r="I7" s="22"/>
      <c r="J7" s="21"/>
      <c r="K7" s="21"/>
      <c r="L7" s="21"/>
      <c r="M7" s="21"/>
      <c r="N7" s="33"/>
      <c r="O7" s="22"/>
      <c r="P7" s="21"/>
      <c r="Q7" s="21"/>
      <c r="R7" s="21"/>
      <c r="S7" s="21"/>
      <c r="T7" s="33"/>
      <c r="U7" s="22"/>
      <c r="V7" s="33"/>
    </row>
    <row r="8" spans="1:22" x14ac:dyDescent="0.25">
      <c r="A8" s="35">
        <v>2009</v>
      </c>
      <c r="B8" s="36" t="s">
        <v>177</v>
      </c>
      <c r="C8" s="22"/>
      <c r="D8" s="21"/>
      <c r="E8" s="21"/>
      <c r="F8" s="21"/>
      <c r="G8" s="21"/>
      <c r="H8" s="33"/>
      <c r="I8" s="22"/>
      <c r="J8" s="21"/>
      <c r="K8" s="21"/>
      <c r="L8" s="21"/>
      <c r="M8" s="21"/>
      <c r="N8" s="33"/>
      <c r="O8" s="22"/>
      <c r="P8" s="21"/>
      <c r="Q8" s="21"/>
      <c r="R8" s="21"/>
      <c r="S8" s="21"/>
      <c r="T8" s="33"/>
      <c r="U8" s="22">
        <v>15</v>
      </c>
      <c r="V8" s="33">
        <f t="shared" si="0"/>
        <v>15</v>
      </c>
    </row>
    <row r="9" spans="1:22" x14ac:dyDescent="0.25">
      <c r="A9" s="35"/>
      <c r="B9" s="36" t="s">
        <v>178</v>
      </c>
      <c r="C9" s="22"/>
      <c r="D9" s="21"/>
      <c r="E9" s="21"/>
      <c r="F9" s="21"/>
      <c r="G9" s="21"/>
      <c r="H9" s="33"/>
      <c r="I9" s="22"/>
      <c r="J9" s="21"/>
      <c r="K9" s="21"/>
      <c r="L9" s="21"/>
      <c r="M9" s="21"/>
      <c r="N9" s="33"/>
      <c r="O9" s="22"/>
      <c r="P9" s="21"/>
      <c r="Q9" s="21"/>
      <c r="R9" s="21"/>
      <c r="S9" s="21"/>
      <c r="T9" s="33"/>
      <c r="U9" s="22"/>
      <c r="V9" s="33"/>
    </row>
    <row r="10" spans="1:22" x14ac:dyDescent="0.25">
      <c r="A10" s="35">
        <v>2014</v>
      </c>
      <c r="B10" s="36" t="s">
        <v>177</v>
      </c>
      <c r="C10" s="22"/>
      <c r="D10" s="21"/>
      <c r="E10" s="21"/>
      <c r="F10" s="21"/>
      <c r="G10" s="21"/>
      <c r="H10" s="33"/>
      <c r="I10" s="22"/>
      <c r="J10" s="21"/>
      <c r="K10" s="21"/>
      <c r="L10" s="21"/>
      <c r="M10" s="21"/>
      <c r="N10" s="33"/>
      <c r="O10" s="22"/>
      <c r="P10" s="21"/>
      <c r="Q10" s="21"/>
      <c r="R10" s="21"/>
      <c r="S10" s="21"/>
      <c r="T10" s="33"/>
      <c r="U10" s="22">
        <v>15</v>
      </c>
      <c r="V10" s="33">
        <f t="shared" si="0"/>
        <v>15</v>
      </c>
    </row>
    <row r="11" spans="1:22" x14ac:dyDescent="0.25">
      <c r="A11" s="35"/>
      <c r="B11" s="36" t="s">
        <v>178</v>
      </c>
      <c r="C11" s="22"/>
      <c r="D11" s="21"/>
      <c r="E11" s="21"/>
      <c r="F11" s="21"/>
      <c r="G11" s="21"/>
      <c r="H11" s="33"/>
      <c r="I11" s="22"/>
      <c r="J11" s="21"/>
      <c r="K11" s="21"/>
      <c r="L11" s="21"/>
      <c r="M11" s="21"/>
      <c r="N11" s="33"/>
      <c r="O11" s="22"/>
      <c r="P11" s="21"/>
      <c r="Q11" s="21"/>
      <c r="R11" s="21"/>
      <c r="S11" s="21"/>
      <c r="T11" s="33"/>
      <c r="U11" s="22"/>
      <c r="V11" s="33"/>
    </row>
    <row r="12" spans="1:22" x14ac:dyDescent="0.25">
      <c r="A12" s="35">
        <v>2016</v>
      </c>
      <c r="B12" s="36" t="s">
        <v>177</v>
      </c>
      <c r="C12" s="22"/>
      <c r="D12" s="21"/>
      <c r="E12" s="21"/>
      <c r="F12" s="21"/>
      <c r="G12" s="21"/>
      <c r="H12" s="33"/>
      <c r="I12" s="22"/>
      <c r="J12" s="21"/>
      <c r="K12" s="21"/>
      <c r="L12" s="21"/>
      <c r="M12" s="21"/>
      <c r="N12" s="33"/>
      <c r="O12" s="22"/>
      <c r="P12" s="21"/>
      <c r="Q12" s="21"/>
      <c r="R12" s="21"/>
      <c r="S12" s="21"/>
      <c r="T12" s="33"/>
      <c r="U12" s="22">
        <v>15</v>
      </c>
      <c r="V12" s="33">
        <f t="shared" si="0"/>
        <v>15</v>
      </c>
    </row>
    <row r="13" spans="1:22" x14ac:dyDescent="0.25">
      <c r="A13" s="35"/>
      <c r="B13" s="36" t="s">
        <v>178</v>
      </c>
      <c r="C13" s="22"/>
      <c r="D13" s="21"/>
      <c r="E13" s="21"/>
      <c r="F13" s="21"/>
      <c r="G13" s="21"/>
      <c r="H13" s="33"/>
      <c r="I13" s="22"/>
      <c r="J13" s="21"/>
      <c r="K13" s="21"/>
      <c r="L13" s="21"/>
      <c r="M13" s="21"/>
      <c r="N13" s="33"/>
      <c r="O13" s="22"/>
      <c r="P13" s="21"/>
      <c r="Q13" s="21"/>
      <c r="R13" s="21"/>
      <c r="S13" s="21"/>
      <c r="T13" s="33"/>
      <c r="U13" s="22"/>
      <c r="V13" s="33"/>
    </row>
    <row r="14" spans="1:22" x14ac:dyDescent="0.25">
      <c r="A14" s="35">
        <v>2017</v>
      </c>
      <c r="B14" s="36" t="s">
        <v>177</v>
      </c>
      <c r="C14" s="22"/>
      <c r="D14" s="21"/>
      <c r="E14" s="21"/>
      <c r="F14" s="21"/>
      <c r="G14" s="21"/>
      <c r="H14" s="33"/>
      <c r="I14" s="22"/>
      <c r="J14" s="21"/>
      <c r="K14" s="21"/>
      <c r="L14" s="21"/>
      <c r="M14" s="21"/>
      <c r="N14" s="33"/>
      <c r="O14" s="22"/>
      <c r="P14" s="21"/>
      <c r="Q14" s="21"/>
      <c r="R14" s="21"/>
      <c r="S14" s="21"/>
      <c r="T14" s="33"/>
      <c r="U14" s="22"/>
      <c r="V14" s="33">
        <f t="shared" si="0"/>
        <v>0</v>
      </c>
    </row>
    <row r="15" spans="1:22" x14ac:dyDescent="0.25">
      <c r="A15" s="35"/>
      <c r="B15" s="36" t="s">
        <v>178</v>
      </c>
      <c r="C15" s="22"/>
      <c r="D15" s="21"/>
      <c r="E15" s="21"/>
      <c r="F15" s="21"/>
      <c r="G15" s="21"/>
      <c r="H15" s="33"/>
      <c r="I15" s="22"/>
      <c r="J15" s="21"/>
      <c r="K15" s="21"/>
      <c r="L15" s="21"/>
      <c r="M15" s="21"/>
      <c r="N15" s="33"/>
      <c r="O15" s="22"/>
      <c r="P15" s="21"/>
      <c r="Q15" s="21"/>
      <c r="R15" s="21"/>
      <c r="S15" s="21"/>
      <c r="T15" s="33"/>
      <c r="U15" s="22"/>
      <c r="V15" s="33"/>
    </row>
    <row r="16" spans="1:22" x14ac:dyDescent="0.25">
      <c r="A16" s="35">
        <v>2019</v>
      </c>
      <c r="B16" s="36" t="s">
        <v>177</v>
      </c>
      <c r="C16" s="22"/>
      <c r="D16" s="21"/>
      <c r="E16" s="21"/>
      <c r="F16" s="21"/>
      <c r="G16" s="21"/>
      <c r="H16" s="33"/>
      <c r="I16" s="22"/>
      <c r="J16" s="21"/>
      <c r="K16" s="21"/>
      <c r="L16" s="21"/>
      <c r="M16" s="21"/>
      <c r="N16" s="33"/>
      <c r="O16" s="22"/>
      <c r="P16" s="21"/>
      <c r="Q16" s="21"/>
      <c r="R16" s="21"/>
      <c r="S16" s="21"/>
      <c r="T16" s="33"/>
      <c r="U16" s="22"/>
      <c r="V16" s="33">
        <f t="shared" si="0"/>
        <v>0</v>
      </c>
    </row>
    <row r="17" spans="1:22" x14ac:dyDescent="0.25">
      <c r="A17" s="35"/>
      <c r="B17" s="36" t="s">
        <v>178</v>
      </c>
      <c r="C17" s="22"/>
      <c r="D17" s="21"/>
      <c r="E17" s="21"/>
      <c r="F17" s="21"/>
      <c r="G17" s="21"/>
      <c r="H17" s="33"/>
      <c r="I17" s="22"/>
      <c r="J17" s="21"/>
      <c r="K17" s="21"/>
      <c r="L17" s="21"/>
      <c r="M17" s="21"/>
      <c r="N17" s="33"/>
      <c r="O17" s="22"/>
      <c r="P17" s="21"/>
      <c r="Q17" s="21"/>
      <c r="R17" s="21"/>
      <c r="S17" s="21"/>
      <c r="T17" s="33"/>
      <c r="U17" s="22"/>
      <c r="V17" s="33"/>
    </row>
    <row r="18" spans="1:22" x14ac:dyDescent="0.25">
      <c r="A18" s="35">
        <v>2020</v>
      </c>
      <c r="B18" s="36" t="s">
        <v>177</v>
      </c>
      <c r="C18" s="22"/>
      <c r="D18" s="21"/>
      <c r="E18" s="21"/>
      <c r="F18" s="21"/>
      <c r="G18" s="21"/>
      <c r="H18" s="21"/>
      <c r="I18" s="22"/>
      <c r="J18" s="21"/>
      <c r="K18" s="21"/>
      <c r="L18" s="21"/>
      <c r="M18" s="21"/>
      <c r="N18" s="21"/>
      <c r="O18" s="22"/>
      <c r="P18" s="21"/>
      <c r="Q18" s="21"/>
      <c r="R18" s="21"/>
      <c r="S18" s="21"/>
      <c r="T18" s="21"/>
      <c r="U18" s="22"/>
      <c r="V18" s="33">
        <f t="shared" si="0"/>
        <v>0</v>
      </c>
    </row>
    <row r="19" spans="1:22" x14ac:dyDescent="0.25">
      <c r="A19" s="35"/>
      <c r="B19" s="36" t="s">
        <v>178</v>
      </c>
      <c r="C19" s="22"/>
      <c r="D19" s="21"/>
      <c r="E19" s="21"/>
      <c r="F19" s="21"/>
      <c r="G19" s="21"/>
      <c r="H19" s="21"/>
      <c r="I19" s="22"/>
      <c r="J19" s="21"/>
      <c r="K19" s="21"/>
      <c r="L19" s="21"/>
      <c r="M19" s="21"/>
      <c r="N19" s="21"/>
      <c r="O19" s="22"/>
      <c r="P19" s="21"/>
      <c r="Q19" s="21"/>
      <c r="R19" s="21"/>
      <c r="S19" s="21"/>
      <c r="T19" s="21"/>
      <c r="U19" s="22"/>
      <c r="V19" s="33"/>
    </row>
    <row r="20" spans="1:22" x14ac:dyDescent="0.25">
      <c r="C20" s="16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 t="s">
        <v>216</v>
      </c>
      <c r="V20" s="18">
        <f>SUM(V4:V18)</f>
        <v>75</v>
      </c>
    </row>
  </sheetData>
  <mergeCells count="22">
    <mergeCell ref="A14:A15"/>
    <mergeCell ref="A16:A17"/>
    <mergeCell ref="A18:A19"/>
    <mergeCell ref="B1:B3"/>
    <mergeCell ref="A1:A3"/>
    <mergeCell ref="A4:A5"/>
    <mergeCell ref="A6:A7"/>
    <mergeCell ref="A8:A9"/>
    <mergeCell ref="A10:A11"/>
    <mergeCell ref="A12:A13"/>
    <mergeCell ref="M2:N2"/>
    <mergeCell ref="O2:P2"/>
    <mergeCell ref="Q2:R2"/>
    <mergeCell ref="S2:T2"/>
    <mergeCell ref="C1:H1"/>
    <mergeCell ref="I1:N1"/>
    <mergeCell ref="O1:T1"/>
    <mergeCell ref="C2:D2"/>
    <mergeCell ref="E2:F2"/>
    <mergeCell ref="G2:H2"/>
    <mergeCell ref="I2:J2"/>
    <mergeCell ref="K2: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studydesign</vt:lpstr>
      <vt:lpstr>propertydetails</vt:lpstr>
      <vt:lpstr>Sheet2</vt:lpstr>
      <vt:lpstr>Quirks by year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Kristen Shive</dc:creator>
  <cp:lastModifiedBy>Kristen Shive</cp:lastModifiedBy>
  <dcterms:created xsi:type="dcterms:W3CDTF">2026-01-09T03:30:13Z</dcterms:created>
  <dcterms:modified xsi:type="dcterms:W3CDTF">2026-01-14T21:39:06Z</dcterms:modified>
</cp:coreProperties>
</file>