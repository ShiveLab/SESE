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hive\Documents\UCB\Projects\In Progress\SESE Fuels Gradient\r code\study design\"/>
    </mc:Choice>
  </mc:AlternateContent>
  <xr:revisionPtr revIDLastSave="0" documentId="13_ncr:1_{13CCC231-E938-44DC-8DD0-9A1D4328258F}" xr6:coauthVersionLast="47" xr6:coauthVersionMax="47" xr10:uidLastSave="{00000000-0000-0000-0000-000000000000}"/>
  <bookViews>
    <workbookView xWindow="-120" yWindow="-120" windowWidth="29040" windowHeight="15720" activeTab="1" xr2:uid="{C48522AE-41DB-4F83-A6E4-E31626240E4E}"/>
  </bookViews>
  <sheets>
    <sheet name="jenks" sheetId="1" r:id="rId1"/>
    <sheet name="quantiles" sheetId="2" r:id="rId2"/>
    <sheet name="3rd-ti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2" l="1"/>
  <c r="U29" i="2"/>
  <c r="U6" i="2"/>
  <c r="U7" i="2"/>
  <c r="U8" i="2"/>
  <c r="U9" i="2"/>
  <c r="U10" i="2"/>
  <c r="U11" i="2"/>
  <c r="U12" i="2"/>
  <c r="U30" i="2"/>
  <c r="U31" i="2"/>
  <c r="U15" i="2"/>
  <c r="U16" i="2"/>
  <c r="U17" i="2"/>
  <c r="U18" i="2"/>
  <c r="U19" i="2"/>
  <c r="U20" i="2"/>
  <c r="U21" i="2"/>
  <c r="U22" i="2"/>
  <c r="U3" i="2"/>
  <c r="V9" i="1"/>
  <c r="V24" i="1"/>
  <c r="V17" i="1"/>
  <c r="M26" i="1"/>
  <c r="M27" i="1"/>
</calcChain>
</file>

<file path=xl/sharedStrings.xml><?xml version="1.0" encoding="utf-8"?>
<sst xmlns="http://schemas.openxmlformats.org/spreadsheetml/2006/main" count="476" uniqueCount="106">
  <si>
    <t>YEAR_</t>
  </si>
  <si>
    <t>FIRE_NAME</t>
  </si>
  <si>
    <t>fireyr</t>
  </si>
  <si>
    <t>und_chg</t>
  </si>
  <si>
    <t>low</t>
  </si>
  <si>
    <t>moderate</t>
  </si>
  <si>
    <t>high</t>
  </si>
  <si>
    <t>total_ha</t>
  </si>
  <si>
    <t>aet_class</t>
  </si>
  <si>
    <t>TUK</t>
  </si>
  <si>
    <t>2003-TUK</t>
  </si>
  <si>
    <t>~mean aet</t>
  </si>
  <si>
    <t>CLIFF RIDGE</t>
  </si>
  <si>
    <t>2008-CLIFF RIDGE</t>
  </si>
  <si>
    <t>MARTIN</t>
  </si>
  <si>
    <t>2008-MARTIN</t>
  </si>
  <si>
    <t>SUGARLOAF</t>
  </si>
  <si>
    <t>2008-SUGARLOAF</t>
  </si>
  <si>
    <t>SUMMIT</t>
  </si>
  <si>
    <t>2008-SUMMIT</t>
  </si>
  <si>
    <t>WILSON BRANCH 2</t>
  </si>
  <si>
    <t>2009-WILSON BRANCH 2</t>
  </si>
  <si>
    <t>LOMA</t>
  </si>
  <si>
    <t>2016-LOMA</t>
  </si>
  <si>
    <t>BEAR</t>
  </si>
  <si>
    <t>2017-BEAR</t>
  </si>
  <si>
    <t>NUNS</t>
  </si>
  <si>
    <t>2017-NUNS</t>
  </si>
  <si>
    <t>TUBBS</t>
  </si>
  <si>
    <t>2017-TUBBS</t>
  </si>
  <si>
    <t>KINCADE</t>
  </si>
  <si>
    <t>2019-KINCADE</t>
  </si>
  <si>
    <t>CZU LIGHTNING COMPLEX</t>
  </si>
  <si>
    <t>2020-CZU LIGHTNING COMPLEX</t>
  </si>
  <si>
    <t>WALBRIDGE</t>
  </si>
  <si>
    <t>2020-WALBRIDGE</t>
  </si>
  <si>
    <t>ESTRADA</t>
  </si>
  <si>
    <t>2021-ESTRADA</t>
  </si>
  <si>
    <t>LOST</t>
  </si>
  <si>
    <t>2023-LOST</t>
  </si>
  <si>
    <t>GALLERY</t>
  </si>
  <si>
    <t>2008-GALLERY</t>
  </si>
  <si>
    <t>very dry</t>
  </si>
  <si>
    <t>PFEIFFER</t>
  </si>
  <si>
    <t>2013-PFEIFFER</t>
  </si>
  <si>
    <t>SOBERANES</t>
  </si>
  <si>
    <t>2016-SOBERANES</t>
  </si>
  <si>
    <t>CANOE</t>
  </si>
  <si>
    <t>2003-CANOE</t>
  </si>
  <si>
    <t>very wet</t>
  </si>
  <si>
    <t>MOUSE TWO</t>
  </si>
  <si>
    <t>2003-MOUSE TWO</t>
  </si>
  <si>
    <t>FISHER</t>
  </si>
  <si>
    <t>2005-FISHER</t>
  </si>
  <si>
    <t>COWSHED LIGHTNING</t>
  </si>
  <si>
    <t>2008-COWSHED LIGHTNING</t>
  </si>
  <si>
    <t>HARDY CREEK LIGHTNING</t>
  </si>
  <si>
    <t>2008-HARDY CREEK LIGHTNING</t>
  </si>
  <si>
    <t>HORSE</t>
  </si>
  <si>
    <t>2008-HORSE</t>
  </si>
  <si>
    <t>INDIAN</t>
  </si>
  <si>
    <t>2008-INDIAN</t>
  </si>
  <si>
    <t>JACKS</t>
  </si>
  <si>
    <t>2008-JACKS</t>
  </si>
  <si>
    <t>LITTLE JUAN CREEK MRC</t>
  </si>
  <si>
    <t>2008-LITTLE JUAN CREEK MRC</t>
  </si>
  <si>
    <t>LOST PIPE</t>
  </si>
  <si>
    <t>2008-LOST PIPE</t>
  </si>
  <si>
    <t>LOW GAP</t>
  </si>
  <si>
    <t>2008-LOW GAP</t>
  </si>
  <si>
    <t>MIDDLE</t>
  </si>
  <si>
    <t>2008-MIDDLE</t>
  </si>
  <si>
    <t>NAVARRO</t>
  </si>
  <si>
    <t>2008-NAVARRO</t>
  </si>
  <si>
    <t>ORR SERIES</t>
  </si>
  <si>
    <t>2008-ORR SERIES</t>
  </si>
  <si>
    <t>OSO</t>
  </si>
  <si>
    <t>2008-OSO</t>
  </si>
  <si>
    <t>TABLE MTN</t>
  </si>
  <si>
    <t>2008-TABLE MTN</t>
  </si>
  <si>
    <t>WILLIAMS</t>
  </si>
  <si>
    <t>2008-WILLIAMS</t>
  </si>
  <si>
    <t>2009-LOMA</t>
  </si>
  <si>
    <t>FLYNN</t>
  </si>
  <si>
    <t>2012-FLYNN</t>
  </si>
  <si>
    <t>LODGE</t>
  </si>
  <si>
    <t>2014-LODGE</t>
  </si>
  <si>
    <t>CHETCO BAR</t>
  </si>
  <si>
    <t>2017-CHETCO BAR</t>
  </si>
  <si>
    <t>GLASS</t>
  </si>
  <si>
    <t>2020-GLASS</t>
  </si>
  <si>
    <t>MEYERS</t>
  </si>
  <si>
    <t>2020-MEYERS</t>
  </si>
  <si>
    <t>~Mean AET</t>
  </si>
  <si>
    <t>Year</t>
  </si>
  <si>
    <t>Fire</t>
  </si>
  <si>
    <t>severity</t>
  </si>
  <si>
    <t>mn.aet</t>
  </si>
  <si>
    <t>mdn.aet</t>
  </si>
  <si>
    <t>sd.aet</t>
  </si>
  <si>
    <t>min.aet</t>
  </si>
  <si>
    <t>max.aet</t>
  </si>
  <si>
    <t>area_ha</t>
  </si>
  <si>
    <t>total plots</t>
  </si>
  <si>
    <t>dry areas of CZU</t>
  </si>
  <si>
    <t>15 plots/strata - incl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</si>
</sst>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5454-CAAC-4B05-A35C-8B4F320ED775}">
  <dimension ref="A1:V51"/>
  <sheetViews>
    <sheetView topLeftCell="A6" zoomScaleNormal="100" workbookViewId="0">
      <selection activeCell="O32" sqref="O32"/>
    </sheetView>
  </sheetViews>
  <sheetFormatPr defaultRowHeight="15" x14ac:dyDescent="0.25"/>
  <cols>
    <col min="7" max="7" width="0" hidden="1" customWidth="1"/>
    <col min="17" max="17" width="23.42578125" customWidth="1"/>
    <col min="22" max="22" width="26.5703125" customWidth="1"/>
  </cols>
  <sheetData>
    <row r="1" spans="1:22" x14ac:dyDescent="0.25">
      <c r="A1" s="1" t="s">
        <v>93</v>
      </c>
      <c r="C1" s="11" t="s">
        <v>96</v>
      </c>
      <c r="D1" s="11"/>
      <c r="E1" s="11"/>
    </row>
    <row r="2" spans="1:22" ht="30" x14ac:dyDescent="0.25">
      <c r="A2" t="s">
        <v>94</v>
      </c>
      <c r="B2" t="s">
        <v>95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97</v>
      </c>
      <c r="I2" t="s">
        <v>99</v>
      </c>
      <c r="J2" t="s">
        <v>100</v>
      </c>
      <c r="K2" t="s">
        <v>101</v>
      </c>
      <c r="L2" t="s">
        <v>102</v>
      </c>
      <c r="P2" s="4" t="s">
        <v>94</v>
      </c>
      <c r="Q2" s="4" t="s">
        <v>95</v>
      </c>
      <c r="R2" s="4" t="s">
        <v>4</v>
      </c>
      <c r="S2" s="4" t="s">
        <v>6</v>
      </c>
      <c r="T2" s="4" t="s">
        <v>97</v>
      </c>
      <c r="U2" s="4" t="s">
        <v>99</v>
      </c>
      <c r="V2" s="6" t="s">
        <v>105</v>
      </c>
    </row>
    <row r="3" spans="1:22" x14ac:dyDescent="0.25">
      <c r="A3">
        <v>2003</v>
      </c>
      <c r="B3" t="s">
        <v>50</v>
      </c>
      <c r="C3">
        <v>23.7</v>
      </c>
      <c r="D3">
        <v>31.4</v>
      </c>
      <c r="E3">
        <v>23.9</v>
      </c>
      <c r="F3">
        <v>99.7</v>
      </c>
      <c r="G3" t="s">
        <v>11</v>
      </c>
      <c r="H3">
        <v>670.9</v>
      </c>
      <c r="I3">
        <v>143.9</v>
      </c>
      <c r="J3">
        <v>279.8</v>
      </c>
      <c r="K3">
        <v>789.9</v>
      </c>
      <c r="L3">
        <v>99.7</v>
      </c>
      <c r="P3" s="4">
        <v>2003</v>
      </c>
      <c r="Q3" s="4" t="s">
        <v>50</v>
      </c>
      <c r="R3" s="4">
        <v>23.7</v>
      </c>
      <c r="S3" s="4">
        <v>23.9</v>
      </c>
      <c r="T3" s="4">
        <v>670.9</v>
      </c>
      <c r="U3" s="4">
        <v>143.9</v>
      </c>
      <c r="V3" s="4">
        <v>45</v>
      </c>
    </row>
    <row r="4" spans="1:22" x14ac:dyDescent="0.25">
      <c r="A4">
        <v>2003</v>
      </c>
      <c r="B4" t="s">
        <v>9</v>
      </c>
      <c r="C4">
        <v>46.5</v>
      </c>
      <c r="D4">
        <v>36</v>
      </c>
      <c r="E4">
        <v>5.0999999999999996</v>
      </c>
      <c r="F4">
        <v>93</v>
      </c>
      <c r="G4" t="s">
        <v>11</v>
      </c>
      <c r="H4">
        <v>631.5</v>
      </c>
      <c r="I4">
        <v>57</v>
      </c>
      <c r="J4">
        <v>458</v>
      </c>
      <c r="K4">
        <v>685.4</v>
      </c>
      <c r="L4">
        <v>93</v>
      </c>
      <c r="P4" s="4">
        <v>2008</v>
      </c>
      <c r="Q4" s="4" t="s">
        <v>16</v>
      </c>
      <c r="R4" s="4">
        <v>1186.8</v>
      </c>
      <c r="S4" s="4">
        <v>103.8</v>
      </c>
      <c r="T4" s="4">
        <v>646.4</v>
      </c>
      <c r="U4" s="4">
        <v>77.3</v>
      </c>
      <c r="V4" s="4">
        <v>45</v>
      </c>
    </row>
    <row r="5" spans="1:22" x14ac:dyDescent="0.25">
      <c r="A5">
        <v>2008</v>
      </c>
      <c r="B5" t="s">
        <v>12</v>
      </c>
      <c r="C5">
        <v>705.4</v>
      </c>
      <c r="D5">
        <v>174.1</v>
      </c>
      <c r="E5">
        <v>30.6</v>
      </c>
      <c r="F5">
        <v>1487.3</v>
      </c>
      <c r="G5" t="s">
        <v>11</v>
      </c>
      <c r="H5">
        <v>654.5</v>
      </c>
      <c r="I5">
        <v>77.8</v>
      </c>
      <c r="J5">
        <v>263.2</v>
      </c>
      <c r="K5">
        <v>743.8</v>
      </c>
      <c r="L5">
        <v>1487.3</v>
      </c>
      <c r="P5" s="4">
        <v>2008</v>
      </c>
      <c r="Q5" s="4" t="s">
        <v>18</v>
      </c>
      <c r="R5" s="4">
        <v>296.89999999999998</v>
      </c>
      <c r="S5" s="4">
        <v>155.4</v>
      </c>
      <c r="T5" s="4">
        <v>567.4</v>
      </c>
      <c r="U5" s="4">
        <v>104.7</v>
      </c>
      <c r="V5" s="4">
        <v>45</v>
      </c>
    </row>
    <row r="6" spans="1:22" x14ac:dyDescent="0.25">
      <c r="A6">
        <v>2008</v>
      </c>
      <c r="B6" t="s">
        <v>14</v>
      </c>
      <c r="C6">
        <v>24.4</v>
      </c>
      <c r="D6">
        <v>16.2</v>
      </c>
      <c r="E6">
        <v>17.600000000000001</v>
      </c>
      <c r="F6">
        <v>63.1</v>
      </c>
      <c r="G6" t="s">
        <v>11</v>
      </c>
      <c r="H6">
        <v>560.79999999999995</v>
      </c>
      <c r="I6">
        <v>156.80000000000001</v>
      </c>
      <c r="J6">
        <v>182.5</v>
      </c>
      <c r="K6">
        <v>824.4</v>
      </c>
      <c r="L6">
        <v>58.5</v>
      </c>
      <c r="P6" s="4">
        <v>2017</v>
      </c>
      <c r="Q6" s="4" t="s">
        <v>28</v>
      </c>
      <c r="R6" s="4">
        <v>38.799999999999997</v>
      </c>
      <c r="S6" s="4">
        <v>73.599999999999994</v>
      </c>
      <c r="T6" s="4">
        <v>602.79999999999995</v>
      </c>
      <c r="U6" s="4">
        <v>161.30000000000001</v>
      </c>
      <c r="V6" s="4">
        <v>45</v>
      </c>
    </row>
    <row r="7" spans="1:22" x14ac:dyDescent="0.25">
      <c r="A7">
        <v>2008</v>
      </c>
      <c r="B7" t="s">
        <v>16</v>
      </c>
      <c r="C7">
        <v>1186.8</v>
      </c>
      <c r="D7">
        <v>325.89999999999998</v>
      </c>
      <c r="E7">
        <v>103.8</v>
      </c>
      <c r="F7">
        <v>2272</v>
      </c>
      <c r="G7" t="s">
        <v>11</v>
      </c>
      <c r="H7">
        <v>646.4</v>
      </c>
      <c r="I7">
        <v>77.3</v>
      </c>
      <c r="J7">
        <v>236.1</v>
      </c>
      <c r="K7">
        <v>785.2</v>
      </c>
      <c r="L7">
        <v>2272</v>
      </c>
      <c r="P7" s="4">
        <v>2020</v>
      </c>
      <c r="Q7" s="4" t="s">
        <v>32</v>
      </c>
      <c r="R7" s="4">
        <v>7130</v>
      </c>
      <c r="S7" s="4">
        <v>9091.2000000000007</v>
      </c>
      <c r="T7" s="4">
        <v>588.4</v>
      </c>
      <c r="U7" s="4">
        <v>103.7</v>
      </c>
      <c r="V7" s="4">
        <v>45</v>
      </c>
    </row>
    <row r="8" spans="1:22" x14ac:dyDescent="0.25">
      <c r="A8">
        <v>2008</v>
      </c>
      <c r="B8" t="s">
        <v>18</v>
      </c>
      <c r="C8">
        <v>296.89999999999998</v>
      </c>
      <c r="D8">
        <v>169</v>
      </c>
      <c r="E8">
        <v>155.4</v>
      </c>
      <c r="F8">
        <v>792</v>
      </c>
      <c r="G8" t="s">
        <v>11</v>
      </c>
      <c r="H8">
        <v>567.4</v>
      </c>
      <c r="I8">
        <v>104.7</v>
      </c>
      <c r="J8">
        <v>319.10000000000002</v>
      </c>
      <c r="K8">
        <v>764.8</v>
      </c>
      <c r="L8">
        <v>790.7</v>
      </c>
      <c r="P8" s="4">
        <v>2023</v>
      </c>
      <c r="Q8" s="4" t="s">
        <v>38</v>
      </c>
      <c r="R8" s="4">
        <v>162.4</v>
      </c>
      <c r="S8" s="4">
        <v>3.4</v>
      </c>
      <c r="T8" s="4">
        <v>623.70000000000005</v>
      </c>
      <c r="U8" s="4">
        <v>8.4</v>
      </c>
      <c r="V8" s="4">
        <v>45</v>
      </c>
    </row>
    <row r="9" spans="1:22" x14ac:dyDescent="0.25">
      <c r="A9">
        <v>2009</v>
      </c>
      <c r="B9" t="s">
        <v>22</v>
      </c>
      <c r="C9">
        <v>12.3</v>
      </c>
      <c r="D9">
        <v>24.8</v>
      </c>
      <c r="E9">
        <v>4.5</v>
      </c>
      <c r="F9">
        <v>67.3</v>
      </c>
      <c r="G9" t="s">
        <v>11</v>
      </c>
      <c r="H9">
        <v>647.6</v>
      </c>
      <c r="I9">
        <v>151.9</v>
      </c>
      <c r="J9">
        <v>425.8</v>
      </c>
      <c r="K9">
        <v>852.7</v>
      </c>
      <c r="L9">
        <v>66</v>
      </c>
      <c r="P9" s="4"/>
      <c r="Q9" s="4"/>
      <c r="R9" s="4"/>
      <c r="S9" s="4"/>
      <c r="T9" s="9" t="s">
        <v>103</v>
      </c>
      <c r="U9" s="10"/>
      <c r="V9" s="4">
        <f>SUM(V3:V8)</f>
        <v>270</v>
      </c>
    </row>
    <row r="10" spans="1:22" x14ac:dyDescent="0.25">
      <c r="A10">
        <v>2009</v>
      </c>
      <c r="B10" t="s">
        <v>20</v>
      </c>
      <c r="C10">
        <v>43.2</v>
      </c>
      <c r="D10">
        <v>10.4</v>
      </c>
      <c r="E10">
        <v>1</v>
      </c>
      <c r="F10">
        <v>63.4</v>
      </c>
      <c r="G10" t="s">
        <v>11</v>
      </c>
      <c r="H10">
        <v>574</v>
      </c>
      <c r="I10">
        <v>103.7</v>
      </c>
      <c r="J10">
        <v>440.5</v>
      </c>
      <c r="K10">
        <v>672.1</v>
      </c>
      <c r="L10">
        <v>63.4</v>
      </c>
    </row>
    <row r="11" spans="1:22" x14ac:dyDescent="0.25">
      <c r="A11">
        <v>2014</v>
      </c>
      <c r="B11" t="s">
        <v>85</v>
      </c>
      <c r="C11">
        <v>213.3</v>
      </c>
      <c r="D11">
        <v>24.9</v>
      </c>
      <c r="E11">
        <v>1.8</v>
      </c>
      <c r="F11">
        <v>277.8</v>
      </c>
      <c r="G11" t="s">
        <v>11</v>
      </c>
      <c r="H11">
        <v>662.9</v>
      </c>
      <c r="I11">
        <v>79.099999999999994</v>
      </c>
      <c r="J11">
        <v>197.4</v>
      </c>
      <c r="K11">
        <v>787.9</v>
      </c>
      <c r="L11">
        <v>277.8</v>
      </c>
      <c r="P11" s="5" t="s">
        <v>42</v>
      </c>
      <c r="Q11" s="6"/>
      <c r="R11" s="6"/>
      <c r="S11" s="6"/>
      <c r="T11" s="6"/>
      <c r="U11" s="6"/>
      <c r="V11" s="6"/>
    </row>
    <row r="12" spans="1:22" ht="30" x14ac:dyDescent="0.25">
      <c r="A12">
        <v>2016</v>
      </c>
      <c r="B12" t="s">
        <v>22</v>
      </c>
      <c r="C12">
        <v>11.9</v>
      </c>
      <c r="D12">
        <v>21.5</v>
      </c>
      <c r="E12">
        <v>21.7</v>
      </c>
      <c r="F12">
        <v>56.6</v>
      </c>
      <c r="G12" t="s">
        <v>11</v>
      </c>
      <c r="H12">
        <v>522.6</v>
      </c>
      <c r="I12">
        <v>101.2</v>
      </c>
      <c r="J12">
        <v>413.9</v>
      </c>
      <c r="K12">
        <v>751.9</v>
      </c>
      <c r="L12">
        <v>56.6</v>
      </c>
      <c r="P12" s="6" t="s">
        <v>94</v>
      </c>
      <c r="Q12" s="6" t="s">
        <v>95</v>
      </c>
      <c r="R12" s="6" t="s">
        <v>4</v>
      </c>
      <c r="S12" s="6" t="s">
        <v>6</v>
      </c>
      <c r="T12" s="6" t="s">
        <v>97</v>
      </c>
      <c r="U12" s="6" t="s">
        <v>99</v>
      </c>
      <c r="V12" s="6" t="s">
        <v>105</v>
      </c>
    </row>
    <row r="13" spans="1:22" x14ac:dyDescent="0.25">
      <c r="A13">
        <v>2017</v>
      </c>
      <c r="B13" t="s">
        <v>24</v>
      </c>
      <c r="C13">
        <v>67.900000000000006</v>
      </c>
      <c r="D13">
        <v>42.4</v>
      </c>
      <c r="E13">
        <v>2.8</v>
      </c>
      <c r="F13">
        <v>126.1</v>
      </c>
      <c r="G13" t="s">
        <v>11</v>
      </c>
      <c r="H13">
        <v>538.5</v>
      </c>
      <c r="I13">
        <v>42</v>
      </c>
      <c r="J13">
        <v>412.4</v>
      </c>
      <c r="K13">
        <v>614.5</v>
      </c>
      <c r="L13">
        <v>126.1</v>
      </c>
      <c r="P13" s="6">
        <v>2008</v>
      </c>
      <c r="Q13" s="6" t="s">
        <v>40</v>
      </c>
      <c r="R13" s="6">
        <v>374.2</v>
      </c>
      <c r="S13" s="6">
        <v>56.1</v>
      </c>
      <c r="T13" s="6">
        <v>424.9</v>
      </c>
      <c r="U13" s="6">
        <v>114.8</v>
      </c>
      <c r="V13" s="6">
        <v>45</v>
      </c>
    </row>
    <row r="14" spans="1:22" x14ac:dyDescent="0.25">
      <c r="A14">
        <v>2017</v>
      </c>
      <c r="B14" t="s">
        <v>87</v>
      </c>
      <c r="C14">
        <v>207.7</v>
      </c>
      <c r="D14">
        <v>111.3</v>
      </c>
      <c r="E14">
        <v>147</v>
      </c>
      <c r="F14">
        <v>702.4</v>
      </c>
      <c r="G14" t="s">
        <v>11</v>
      </c>
      <c r="H14">
        <v>660.6</v>
      </c>
      <c r="I14">
        <v>146.9</v>
      </c>
      <c r="J14">
        <v>196.4</v>
      </c>
      <c r="K14">
        <v>742</v>
      </c>
      <c r="L14">
        <v>701.2</v>
      </c>
      <c r="P14" s="7">
        <v>2013</v>
      </c>
      <c r="Q14" s="7" t="s">
        <v>43</v>
      </c>
      <c r="R14" s="7">
        <v>48.3</v>
      </c>
      <c r="S14" s="7">
        <v>9.5</v>
      </c>
      <c r="T14" s="7">
        <v>416.8</v>
      </c>
      <c r="U14" s="7">
        <v>83.3</v>
      </c>
      <c r="V14" s="7"/>
    </row>
    <row r="15" spans="1:22" x14ac:dyDescent="0.25">
      <c r="A15">
        <v>2017</v>
      </c>
      <c r="B15" t="s">
        <v>26</v>
      </c>
      <c r="C15">
        <v>324.60000000000002</v>
      </c>
      <c r="D15">
        <v>99.3</v>
      </c>
      <c r="E15">
        <v>58.1</v>
      </c>
      <c r="F15">
        <v>607.4</v>
      </c>
      <c r="G15" t="s">
        <v>11</v>
      </c>
      <c r="H15">
        <v>621.6</v>
      </c>
      <c r="I15">
        <v>147.5</v>
      </c>
      <c r="J15">
        <v>269.3</v>
      </c>
      <c r="K15">
        <v>848.7</v>
      </c>
      <c r="L15">
        <v>607.4</v>
      </c>
      <c r="P15" s="6">
        <v>2016</v>
      </c>
      <c r="Q15" s="6" t="s">
        <v>45</v>
      </c>
      <c r="R15" s="6">
        <v>700.6</v>
      </c>
      <c r="S15" s="6">
        <v>165.5</v>
      </c>
      <c r="T15" s="6">
        <v>422.3</v>
      </c>
      <c r="U15" s="6">
        <v>91.3</v>
      </c>
      <c r="V15" s="6">
        <v>45</v>
      </c>
    </row>
    <row r="16" spans="1:22" x14ac:dyDescent="0.25">
      <c r="A16">
        <v>2017</v>
      </c>
      <c r="B16" t="s">
        <v>28</v>
      </c>
      <c r="C16">
        <v>38.799999999999997</v>
      </c>
      <c r="D16">
        <v>69.5</v>
      </c>
      <c r="E16">
        <v>73.599999999999994</v>
      </c>
      <c r="F16">
        <v>190.1</v>
      </c>
      <c r="G16" t="s">
        <v>11</v>
      </c>
      <c r="H16">
        <v>602.79999999999995</v>
      </c>
      <c r="I16">
        <v>161.30000000000001</v>
      </c>
      <c r="J16">
        <v>0</v>
      </c>
      <c r="K16">
        <v>860.5</v>
      </c>
      <c r="L16">
        <v>188.8</v>
      </c>
      <c r="P16" s="6">
        <v>2020</v>
      </c>
      <c r="Q16" s="6" t="s">
        <v>104</v>
      </c>
      <c r="R16" s="6"/>
      <c r="S16" s="6"/>
      <c r="T16" s="6"/>
      <c r="U16" s="6"/>
      <c r="V16" s="6">
        <v>45</v>
      </c>
    </row>
    <row r="17" spans="1:22" x14ac:dyDescent="0.25">
      <c r="A17">
        <v>2019</v>
      </c>
      <c r="B17" t="s">
        <v>30</v>
      </c>
      <c r="C17">
        <v>23.7</v>
      </c>
      <c r="D17">
        <v>9.6999999999999993</v>
      </c>
      <c r="E17">
        <v>5.4</v>
      </c>
      <c r="F17">
        <v>54.9</v>
      </c>
      <c r="G17" t="s">
        <v>11</v>
      </c>
      <c r="H17">
        <v>558.20000000000005</v>
      </c>
      <c r="I17">
        <v>191.5</v>
      </c>
      <c r="J17">
        <v>0</v>
      </c>
      <c r="K17">
        <v>826.7</v>
      </c>
      <c r="L17">
        <v>54.9</v>
      </c>
      <c r="P17" s="6"/>
      <c r="Q17" s="6"/>
      <c r="R17" s="6"/>
      <c r="S17" s="6"/>
      <c r="T17" s="9" t="s">
        <v>103</v>
      </c>
      <c r="U17" s="10"/>
      <c r="V17" s="6">
        <f>SUM(V13:V16)</f>
        <v>135</v>
      </c>
    </row>
    <row r="18" spans="1:22" x14ac:dyDescent="0.25">
      <c r="A18">
        <v>2020</v>
      </c>
      <c r="B18" t="s">
        <v>32</v>
      </c>
      <c r="C18">
        <v>7130</v>
      </c>
      <c r="D18">
        <v>4536.7</v>
      </c>
      <c r="E18">
        <v>9091.2000000000007</v>
      </c>
      <c r="F18">
        <v>21957.9</v>
      </c>
      <c r="G18" t="s">
        <v>11</v>
      </c>
      <c r="H18">
        <v>588.4</v>
      </c>
      <c r="I18">
        <v>103.7</v>
      </c>
      <c r="J18">
        <v>73.5</v>
      </c>
      <c r="K18">
        <v>847.6</v>
      </c>
      <c r="L18">
        <v>21819.3</v>
      </c>
    </row>
    <row r="19" spans="1:22" x14ac:dyDescent="0.25">
      <c r="A19">
        <v>2020</v>
      </c>
      <c r="B19" t="s">
        <v>89</v>
      </c>
      <c r="C19">
        <v>124.2</v>
      </c>
      <c r="D19">
        <v>162.30000000000001</v>
      </c>
      <c r="E19">
        <v>326</v>
      </c>
      <c r="F19">
        <v>628.29999999999995</v>
      </c>
      <c r="G19" t="s">
        <v>11</v>
      </c>
      <c r="H19">
        <v>632.20000000000005</v>
      </c>
      <c r="I19">
        <v>167.4</v>
      </c>
      <c r="J19">
        <v>187.7</v>
      </c>
      <c r="K19">
        <v>837.8</v>
      </c>
      <c r="L19">
        <v>628.29999999999995</v>
      </c>
      <c r="P19" s="5" t="s">
        <v>49</v>
      </c>
      <c r="Q19" s="6"/>
      <c r="R19" s="6"/>
      <c r="S19" s="6"/>
      <c r="T19" s="6"/>
      <c r="U19" s="6"/>
      <c r="V19" s="6"/>
    </row>
    <row r="20" spans="1:22" ht="30" x14ac:dyDescent="0.25">
      <c r="A20">
        <v>2020</v>
      </c>
      <c r="B20" t="s">
        <v>34</v>
      </c>
      <c r="C20">
        <v>635.4</v>
      </c>
      <c r="D20">
        <v>279.5</v>
      </c>
      <c r="E20">
        <v>278.3</v>
      </c>
      <c r="F20" s="3">
        <v>1442.5</v>
      </c>
      <c r="G20" t="s">
        <v>11</v>
      </c>
      <c r="H20">
        <v>638</v>
      </c>
      <c r="I20">
        <v>100.2</v>
      </c>
      <c r="J20">
        <v>324.3</v>
      </c>
      <c r="K20">
        <v>855.6</v>
      </c>
      <c r="L20">
        <v>1442.5</v>
      </c>
      <c r="P20" s="6" t="s">
        <v>94</v>
      </c>
      <c r="Q20" s="6" t="s">
        <v>95</v>
      </c>
      <c r="R20" s="6" t="s">
        <v>4</v>
      </c>
      <c r="S20" s="6" t="s">
        <v>6</v>
      </c>
      <c r="T20" s="6" t="s">
        <v>97</v>
      </c>
      <c r="U20" s="6" t="s">
        <v>99</v>
      </c>
      <c r="V20" s="6" t="s">
        <v>105</v>
      </c>
    </row>
    <row r="21" spans="1:22" x14ac:dyDescent="0.25">
      <c r="A21">
        <v>2021</v>
      </c>
      <c r="B21" t="s">
        <v>36</v>
      </c>
      <c r="C21">
        <v>23.4</v>
      </c>
      <c r="D21">
        <v>16.2</v>
      </c>
      <c r="E21">
        <v>1</v>
      </c>
      <c r="F21">
        <v>43.9</v>
      </c>
      <c r="G21" t="s">
        <v>11</v>
      </c>
      <c r="H21">
        <v>632.20000000000005</v>
      </c>
      <c r="I21">
        <v>59.7</v>
      </c>
      <c r="J21">
        <v>480.4</v>
      </c>
      <c r="K21">
        <v>712.2</v>
      </c>
      <c r="L21">
        <v>43.9</v>
      </c>
      <c r="P21" s="6">
        <v>2003</v>
      </c>
      <c r="Q21" s="6" t="s">
        <v>47</v>
      </c>
      <c r="R21" s="6">
        <v>464.9</v>
      </c>
      <c r="S21" s="6">
        <v>73.5</v>
      </c>
      <c r="T21" s="6">
        <v>683.1</v>
      </c>
      <c r="U21" s="6">
        <v>63.9</v>
      </c>
      <c r="V21" s="6">
        <v>45</v>
      </c>
    </row>
    <row r="22" spans="1:22" x14ac:dyDescent="0.25">
      <c r="A22">
        <v>2023</v>
      </c>
      <c r="B22" t="s">
        <v>38</v>
      </c>
      <c r="C22">
        <v>162.4</v>
      </c>
      <c r="D22">
        <v>27.9</v>
      </c>
      <c r="E22">
        <v>3.4</v>
      </c>
      <c r="F22">
        <v>291.89999999999998</v>
      </c>
      <c r="G22" t="s">
        <v>11</v>
      </c>
      <c r="H22">
        <v>623.70000000000005</v>
      </c>
      <c r="I22">
        <v>8.4</v>
      </c>
      <c r="J22">
        <v>606.4</v>
      </c>
      <c r="K22">
        <v>652.5</v>
      </c>
      <c r="L22">
        <v>291.89999999999998</v>
      </c>
      <c r="P22" s="6">
        <v>2008</v>
      </c>
      <c r="Q22" s="6" t="s">
        <v>56</v>
      </c>
      <c r="R22" s="6">
        <v>860.2</v>
      </c>
      <c r="S22" s="6">
        <v>50.1</v>
      </c>
      <c r="T22" s="6">
        <v>700.4</v>
      </c>
      <c r="U22" s="6">
        <v>84.2</v>
      </c>
      <c r="V22" s="6">
        <v>45</v>
      </c>
    </row>
    <row r="23" spans="1:22" x14ac:dyDescent="0.25">
      <c r="P23" s="6">
        <v>2020</v>
      </c>
      <c r="Q23" s="6" t="s">
        <v>91</v>
      </c>
      <c r="R23" s="6">
        <v>52.2</v>
      </c>
      <c r="S23" s="6">
        <v>110.2</v>
      </c>
      <c r="T23" s="6">
        <v>679.9</v>
      </c>
      <c r="U23" s="6">
        <v>94.8</v>
      </c>
      <c r="V23" s="6">
        <v>45</v>
      </c>
    </row>
    <row r="24" spans="1:22" x14ac:dyDescent="0.25">
      <c r="P24" s="6"/>
      <c r="Q24" s="6"/>
      <c r="R24" s="6"/>
      <c r="S24" s="6"/>
      <c r="T24" s="8" t="s">
        <v>103</v>
      </c>
      <c r="U24" s="8"/>
      <c r="V24" s="6">
        <f>SUM(V21:V23)</f>
        <v>135</v>
      </c>
    </row>
    <row r="25" spans="1:22" x14ac:dyDescent="0.25">
      <c r="A25" s="1" t="s">
        <v>42</v>
      </c>
      <c r="C25" s="11" t="s">
        <v>96</v>
      </c>
      <c r="D25" s="11"/>
      <c r="E25" s="11"/>
    </row>
    <row r="26" spans="1:22" x14ac:dyDescent="0.25">
      <c r="A26" t="s">
        <v>94</v>
      </c>
      <c r="B26" t="s">
        <v>95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t="s">
        <v>97</v>
      </c>
      <c r="I26" t="s">
        <v>99</v>
      </c>
      <c r="J26" t="s">
        <v>100</v>
      </c>
      <c r="K26" t="s">
        <v>101</v>
      </c>
      <c r="L26" t="s">
        <v>102</v>
      </c>
      <c r="M26">
        <f>H27-I27</f>
        <v>310.09999999999997</v>
      </c>
    </row>
    <row r="27" spans="1:22" x14ac:dyDescent="0.25">
      <c r="A27">
        <v>2008</v>
      </c>
      <c r="B27" t="s">
        <v>40</v>
      </c>
      <c r="C27">
        <v>374.2</v>
      </c>
      <c r="D27">
        <v>243.2</v>
      </c>
      <c r="E27">
        <v>56.1</v>
      </c>
      <c r="F27">
        <v>727.9</v>
      </c>
      <c r="G27" t="s">
        <v>42</v>
      </c>
      <c r="H27">
        <v>424.9</v>
      </c>
      <c r="I27">
        <v>114.8</v>
      </c>
      <c r="J27">
        <v>216.9</v>
      </c>
      <c r="K27">
        <v>801.2</v>
      </c>
      <c r="L27">
        <v>718.7</v>
      </c>
      <c r="M27">
        <f>H27+I27</f>
        <v>539.69999999999993</v>
      </c>
    </row>
    <row r="28" spans="1:22" x14ac:dyDescent="0.25">
      <c r="A28">
        <v>2013</v>
      </c>
      <c r="B28" t="s">
        <v>43</v>
      </c>
      <c r="C28">
        <v>48.3</v>
      </c>
      <c r="D28">
        <v>30.5</v>
      </c>
      <c r="E28">
        <v>9.5</v>
      </c>
      <c r="F28">
        <v>89.6</v>
      </c>
      <c r="G28" t="s">
        <v>42</v>
      </c>
      <c r="H28">
        <v>416.8</v>
      </c>
      <c r="I28">
        <v>83.3</v>
      </c>
      <c r="J28">
        <v>284</v>
      </c>
      <c r="K28">
        <v>587.20000000000005</v>
      </c>
      <c r="L28">
        <v>89.6</v>
      </c>
    </row>
    <row r="29" spans="1:22" x14ac:dyDescent="0.25">
      <c r="A29">
        <v>2016</v>
      </c>
      <c r="B29" t="s">
        <v>45</v>
      </c>
      <c r="C29">
        <v>700.6</v>
      </c>
      <c r="D29">
        <v>404.2</v>
      </c>
      <c r="E29">
        <v>165.5</v>
      </c>
      <c r="F29">
        <v>1510</v>
      </c>
      <c r="G29" t="s">
        <v>42</v>
      </c>
      <c r="H29">
        <v>422.3</v>
      </c>
      <c r="I29">
        <v>91.3</v>
      </c>
      <c r="J29">
        <v>230.7</v>
      </c>
      <c r="K29">
        <v>801.2</v>
      </c>
      <c r="L29">
        <v>1502.8</v>
      </c>
    </row>
    <row r="32" spans="1:22" x14ac:dyDescent="0.25">
      <c r="A32" s="1" t="s">
        <v>49</v>
      </c>
      <c r="O32">
        <v>588.4</v>
      </c>
    </row>
    <row r="33" spans="1:15" x14ac:dyDescent="0.25">
      <c r="A33" t="s">
        <v>94</v>
      </c>
      <c r="B33" t="s">
        <v>95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  <c r="H33" t="s">
        <v>97</v>
      </c>
      <c r="I33" t="s">
        <v>99</v>
      </c>
      <c r="J33" t="s">
        <v>100</v>
      </c>
      <c r="K33" t="s">
        <v>101</v>
      </c>
      <c r="L33" t="s">
        <v>102</v>
      </c>
      <c r="O33">
        <v>683.1</v>
      </c>
    </row>
    <row r="34" spans="1:15" x14ac:dyDescent="0.25">
      <c r="A34">
        <v>2003</v>
      </c>
      <c r="B34" t="s">
        <v>47</v>
      </c>
      <c r="C34">
        <v>464.9</v>
      </c>
      <c r="D34">
        <v>132.1</v>
      </c>
      <c r="E34">
        <v>73.5</v>
      </c>
      <c r="F34" s="2">
        <v>827.7</v>
      </c>
      <c r="G34" t="s">
        <v>49</v>
      </c>
      <c r="H34">
        <v>683.1</v>
      </c>
      <c r="I34">
        <v>63.9</v>
      </c>
      <c r="J34">
        <v>189.3</v>
      </c>
      <c r="K34">
        <v>778.6</v>
      </c>
      <c r="L34">
        <v>827.7</v>
      </c>
    </row>
    <row r="35" spans="1:15" x14ac:dyDescent="0.25">
      <c r="A35">
        <v>2005</v>
      </c>
      <c r="B35" t="s">
        <v>52</v>
      </c>
      <c r="C35">
        <v>16.3</v>
      </c>
      <c r="D35">
        <v>11.6</v>
      </c>
      <c r="E35">
        <v>2.5</v>
      </c>
      <c r="F35">
        <v>40</v>
      </c>
      <c r="G35" t="s">
        <v>49</v>
      </c>
      <c r="H35">
        <v>706</v>
      </c>
      <c r="I35">
        <v>28.3</v>
      </c>
      <c r="J35">
        <v>654.4</v>
      </c>
      <c r="K35">
        <v>728.3</v>
      </c>
      <c r="L35">
        <v>40</v>
      </c>
    </row>
    <row r="36" spans="1:15" x14ac:dyDescent="0.25">
      <c r="A36">
        <v>2008</v>
      </c>
      <c r="B36" t="s">
        <v>54</v>
      </c>
      <c r="C36">
        <v>825.4</v>
      </c>
      <c r="D36">
        <v>209.3</v>
      </c>
      <c r="E36">
        <v>20</v>
      </c>
      <c r="F36">
        <v>1634.4</v>
      </c>
      <c r="G36" t="s">
        <v>49</v>
      </c>
      <c r="H36">
        <v>699.1</v>
      </c>
      <c r="I36">
        <v>67.599999999999994</v>
      </c>
      <c r="J36">
        <v>258.8</v>
      </c>
      <c r="K36">
        <v>795.4</v>
      </c>
      <c r="L36">
        <v>1634.4</v>
      </c>
    </row>
    <row r="37" spans="1:15" x14ac:dyDescent="0.25">
      <c r="A37">
        <v>2008</v>
      </c>
      <c r="B37" t="s">
        <v>56</v>
      </c>
      <c r="C37">
        <v>860.2</v>
      </c>
      <c r="D37">
        <v>254.3</v>
      </c>
      <c r="E37">
        <v>50.1</v>
      </c>
      <c r="F37">
        <v>1932.1</v>
      </c>
      <c r="G37" t="s">
        <v>49</v>
      </c>
      <c r="H37">
        <v>700.4</v>
      </c>
      <c r="I37">
        <v>84.2</v>
      </c>
      <c r="J37">
        <v>264.10000000000002</v>
      </c>
      <c r="K37">
        <v>758.4</v>
      </c>
      <c r="L37">
        <v>1932.1</v>
      </c>
    </row>
    <row r="38" spans="1:15" x14ac:dyDescent="0.25">
      <c r="A38">
        <v>2008</v>
      </c>
      <c r="B38" t="s">
        <v>58</v>
      </c>
      <c r="C38">
        <v>133.80000000000001</v>
      </c>
      <c r="D38">
        <v>52.8</v>
      </c>
      <c r="E38">
        <v>8</v>
      </c>
      <c r="F38">
        <v>230.9</v>
      </c>
      <c r="G38" t="s">
        <v>49</v>
      </c>
      <c r="H38">
        <v>728</v>
      </c>
      <c r="I38">
        <v>39.799999999999997</v>
      </c>
      <c r="J38">
        <v>537.79999999999995</v>
      </c>
      <c r="K38">
        <v>750.7</v>
      </c>
      <c r="L38">
        <v>230.9</v>
      </c>
    </row>
    <row r="39" spans="1:15" x14ac:dyDescent="0.25">
      <c r="A39">
        <v>2008</v>
      </c>
      <c r="B39" t="s">
        <v>60</v>
      </c>
      <c r="C39">
        <v>179.4</v>
      </c>
      <c r="D39">
        <v>18.600000000000001</v>
      </c>
      <c r="E39">
        <v>8.1999999999999993</v>
      </c>
      <c r="F39">
        <v>845.8</v>
      </c>
      <c r="G39" t="s">
        <v>49</v>
      </c>
      <c r="H39">
        <v>743</v>
      </c>
      <c r="I39">
        <v>13.5</v>
      </c>
      <c r="J39">
        <v>714.3</v>
      </c>
      <c r="K39">
        <v>774.4</v>
      </c>
      <c r="L39">
        <v>845.8</v>
      </c>
    </row>
    <row r="40" spans="1:15" x14ac:dyDescent="0.25">
      <c r="A40">
        <v>2008</v>
      </c>
      <c r="B40" t="s">
        <v>62</v>
      </c>
      <c r="C40">
        <v>102.6</v>
      </c>
      <c r="D40">
        <v>5.6</v>
      </c>
      <c r="E40">
        <v>0.6</v>
      </c>
      <c r="F40">
        <v>140.4</v>
      </c>
      <c r="G40" t="s">
        <v>49</v>
      </c>
      <c r="H40">
        <v>754</v>
      </c>
      <c r="I40">
        <v>59.1</v>
      </c>
      <c r="J40">
        <v>632.1</v>
      </c>
      <c r="K40">
        <v>840.4</v>
      </c>
      <c r="L40">
        <v>140.4</v>
      </c>
    </row>
    <row r="41" spans="1:15" x14ac:dyDescent="0.25">
      <c r="A41">
        <v>2008</v>
      </c>
      <c r="B41" t="s">
        <v>64</v>
      </c>
      <c r="C41">
        <v>73.8</v>
      </c>
      <c r="D41">
        <v>9</v>
      </c>
      <c r="E41">
        <v>0</v>
      </c>
      <c r="F41">
        <v>132.19999999999999</v>
      </c>
      <c r="G41" t="s">
        <v>49</v>
      </c>
      <c r="H41">
        <v>723.9</v>
      </c>
      <c r="I41">
        <v>17.399999999999999</v>
      </c>
      <c r="J41">
        <v>688.2</v>
      </c>
      <c r="K41">
        <v>752.8</v>
      </c>
      <c r="L41">
        <v>132.19999999999999</v>
      </c>
    </row>
    <row r="42" spans="1:15" x14ac:dyDescent="0.25">
      <c r="A42">
        <v>2008</v>
      </c>
      <c r="B42" t="s">
        <v>66</v>
      </c>
      <c r="C42">
        <v>50.5</v>
      </c>
      <c r="D42">
        <v>23.1</v>
      </c>
      <c r="E42">
        <v>15</v>
      </c>
      <c r="F42">
        <v>194.3</v>
      </c>
      <c r="G42" t="s">
        <v>49</v>
      </c>
      <c r="H42">
        <v>723.5</v>
      </c>
      <c r="I42">
        <v>44.9</v>
      </c>
      <c r="J42">
        <v>566.4</v>
      </c>
      <c r="K42">
        <v>802.5</v>
      </c>
      <c r="L42">
        <v>194.3</v>
      </c>
    </row>
    <row r="43" spans="1:15" x14ac:dyDescent="0.25">
      <c r="A43">
        <v>2008</v>
      </c>
      <c r="B43" t="s">
        <v>68</v>
      </c>
      <c r="C43">
        <v>232.2</v>
      </c>
      <c r="D43">
        <v>77.2</v>
      </c>
      <c r="E43">
        <v>8</v>
      </c>
      <c r="F43">
        <v>393.7</v>
      </c>
      <c r="G43" t="s">
        <v>49</v>
      </c>
      <c r="H43">
        <v>706.5</v>
      </c>
      <c r="I43">
        <v>50.7</v>
      </c>
      <c r="J43">
        <v>585.20000000000005</v>
      </c>
      <c r="K43">
        <v>827.6</v>
      </c>
      <c r="L43">
        <v>393.7</v>
      </c>
    </row>
    <row r="44" spans="1:15" x14ac:dyDescent="0.25">
      <c r="A44">
        <v>2008</v>
      </c>
      <c r="B44" t="s">
        <v>70</v>
      </c>
      <c r="C44">
        <v>397.5</v>
      </c>
      <c r="D44">
        <v>134</v>
      </c>
      <c r="E44">
        <v>10.6</v>
      </c>
      <c r="F44">
        <v>769.3</v>
      </c>
      <c r="G44" t="s">
        <v>49</v>
      </c>
      <c r="H44">
        <v>698.8</v>
      </c>
      <c r="I44">
        <v>86.5</v>
      </c>
      <c r="J44">
        <v>268.8</v>
      </c>
      <c r="K44">
        <v>756.5</v>
      </c>
      <c r="L44">
        <v>769.3</v>
      </c>
    </row>
    <row r="45" spans="1:15" x14ac:dyDescent="0.25">
      <c r="A45">
        <v>2008</v>
      </c>
      <c r="B45" t="s">
        <v>72</v>
      </c>
      <c r="C45">
        <v>409.4</v>
      </c>
      <c r="D45">
        <v>163.80000000000001</v>
      </c>
      <c r="E45">
        <v>18.100000000000001</v>
      </c>
      <c r="F45">
        <v>688.3</v>
      </c>
      <c r="G45" t="s">
        <v>49</v>
      </c>
      <c r="H45">
        <v>727.4</v>
      </c>
      <c r="I45">
        <v>42.2</v>
      </c>
      <c r="J45">
        <v>555.4</v>
      </c>
      <c r="K45">
        <v>799.2</v>
      </c>
      <c r="L45">
        <v>688.3</v>
      </c>
    </row>
    <row r="46" spans="1:15" x14ac:dyDescent="0.25">
      <c r="A46">
        <v>2008</v>
      </c>
      <c r="B46" t="s">
        <v>74</v>
      </c>
      <c r="C46">
        <v>312.60000000000002</v>
      </c>
      <c r="D46">
        <v>56.4</v>
      </c>
      <c r="E46">
        <v>7.6</v>
      </c>
      <c r="F46" s="2">
        <v>679.3</v>
      </c>
      <c r="G46" t="s">
        <v>49</v>
      </c>
      <c r="H46">
        <v>686.3</v>
      </c>
      <c r="I46">
        <v>94.3</v>
      </c>
      <c r="J46">
        <v>365.6</v>
      </c>
      <c r="K46">
        <v>828.3</v>
      </c>
      <c r="L46">
        <v>679.3</v>
      </c>
    </row>
    <row r="47" spans="1:15" x14ac:dyDescent="0.25">
      <c r="A47">
        <v>2008</v>
      </c>
      <c r="B47" t="s">
        <v>76</v>
      </c>
      <c r="C47">
        <v>42.7</v>
      </c>
      <c r="D47">
        <v>19.600000000000001</v>
      </c>
      <c r="E47">
        <v>1.2</v>
      </c>
      <c r="F47">
        <v>89</v>
      </c>
      <c r="G47" t="s">
        <v>49</v>
      </c>
      <c r="H47">
        <v>708.1</v>
      </c>
      <c r="I47">
        <v>84.4</v>
      </c>
      <c r="J47">
        <v>446.7</v>
      </c>
      <c r="K47">
        <v>750.9</v>
      </c>
      <c r="L47">
        <v>89</v>
      </c>
    </row>
    <row r="48" spans="1:15" x14ac:dyDescent="0.25">
      <c r="A48">
        <v>2008</v>
      </c>
      <c r="B48" t="s">
        <v>78</v>
      </c>
      <c r="C48">
        <v>28.2</v>
      </c>
      <c r="D48">
        <v>17</v>
      </c>
      <c r="E48">
        <v>3.4</v>
      </c>
      <c r="F48">
        <v>58.6</v>
      </c>
      <c r="G48" t="s">
        <v>49</v>
      </c>
      <c r="H48">
        <v>728.5</v>
      </c>
      <c r="I48">
        <v>15</v>
      </c>
      <c r="J48">
        <v>706.9</v>
      </c>
      <c r="K48">
        <v>770.7</v>
      </c>
      <c r="L48">
        <v>58.6</v>
      </c>
    </row>
    <row r="49" spans="1:12" x14ac:dyDescent="0.25">
      <c r="A49">
        <v>2008</v>
      </c>
      <c r="B49" t="s">
        <v>80</v>
      </c>
      <c r="C49">
        <v>90.5</v>
      </c>
      <c r="D49">
        <v>19.100000000000001</v>
      </c>
      <c r="E49">
        <v>3.1</v>
      </c>
      <c r="F49">
        <v>132.69999999999999</v>
      </c>
      <c r="G49" t="s">
        <v>49</v>
      </c>
      <c r="H49">
        <v>725.7</v>
      </c>
      <c r="I49">
        <v>49.4</v>
      </c>
      <c r="J49">
        <v>564</v>
      </c>
      <c r="K49">
        <v>835.9</v>
      </c>
      <c r="L49">
        <v>132.69999999999999</v>
      </c>
    </row>
    <row r="50" spans="1:12" x14ac:dyDescent="0.25">
      <c r="A50">
        <v>2012</v>
      </c>
      <c r="B50" t="s">
        <v>83</v>
      </c>
      <c r="C50">
        <v>13.5</v>
      </c>
      <c r="D50">
        <v>21.1</v>
      </c>
      <c r="E50">
        <v>20</v>
      </c>
      <c r="F50">
        <v>57.1</v>
      </c>
      <c r="G50" t="s">
        <v>49</v>
      </c>
      <c r="H50">
        <v>718.8</v>
      </c>
      <c r="I50">
        <v>81.2</v>
      </c>
      <c r="J50">
        <v>525</v>
      </c>
      <c r="K50">
        <v>799.9</v>
      </c>
      <c r="L50">
        <v>57.1</v>
      </c>
    </row>
    <row r="51" spans="1:12" x14ac:dyDescent="0.25">
      <c r="A51">
        <v>2020</v>
      </c>
      <c r="B51" t="s">
        <v>91</v>
      </c>
      <c r="C51">
        <v>52.2</v>
      </c>
      <c r="D51">
        <v>48.7</v>
      </c>
      <c r="E51">
        <v>110.2</v>
      </c>
      <c r="F51" s="2">
        <v>221.2</v>
      </c>
      <c r="G51" t="s">
        <v>49</v>
      </c>
      <c r="H51">
        <v>679.9</v>
      </c>
      <c r="I51">
        <v>94.8</v>
      </c>
      <c r="J51">
        <v>548.20000000000005</v>
      </c>
      <c r="K51">
        <v>851.1</v>
      </c>
      <c r="L51">
        <v>221.2</v>
      </c>
    </row>
  </sheetData>
  <mergeCells count="5">
    <mergeCell ref="T24:U24"/>
    <mergeCell ref="T9:U9"/>
    <mergeCell ref="C1:E1"/>
    <mergeCell ref="C25:E25"/>
    <mergeCell ref="T17:U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CAE3-CAF6-42F6-BB7C-2A783EBC77BF}">
  <dimension ref="A1:AB50"/>
  <sheetViews>
    <sheetView tabSelected="1" topLeftCell="A4" workbookViewId="0">
      <selection activeCell="H40" sqref="H40"/>
    </sheetView>
  </sheetViews>
  <sheetFormatPr defaultRowHeight="15" x14ac:dyDescent="0.25"/>
  <sheetData>
    <row r="1" spans="1:28" x14ac:dyDescent="0.25">
      <c r="A1" s="1" t="s">
        <v>11</v>
      </c>
      <c r="O1">
        <v>2003</v>
      </c>
    </row>
    <row r="2" spans="1:28" x14ac:dyDescent="0.25">
      <c r="A2" t="s">
        <v>0</v>
      </c>
      <c r="B2" t="s">
        <v>1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O2">
        <v>2008</v>
      </c>
      <c r="Q2" t="s">
        <v>0</v>
      </c>
      <c r="R2" t="s">
        <v>1</v>
      </c>
      <c r="S2" t="s">
        <v>4</v>
      </c>
      <c r="T2" t="s">
        <v>6</v>
      </c>
      <c r="U2" t="s">
        <v>7</v>
      </c>
      <c r="V2" t="s">
        <v>8</v>
      </c>
      <c r="W2" t="s">
        <v>97</v>
      </c>
      <c r="X2" t="s">
        <v>98</v>
      </c>
      <c r="Y2" t="s">
        <v>99</v>
      </c>
      <c r="Z2" t="s">
        <v>100</v>
      </c>
      <c r="AA2" t="s">
        <v>101</v>
      </c>
      <c r="AB2" t="s">
        <v>102</v>
      </c>
    </row>
    <row r="3" spans="1:28" x14ac:dyDescent="0.25">
      <c r="A3">
        <v>2003</v>
      </c>
      <c r="B3" t="s">
        <v>47</v>
      </c>
      <c r="C3">
        <v>464.9</v>
      </c>
      <c r="D3">
        <v>132.1</v>
      </c>
      <c r="E3">
        <v>73.5</v>
      </c>
      <c r="F3">
        <v>827.7</v>
      </c>
      <c r="G3" t="s">
        <v>11</v>
      </c>
      <c r="H3">
        <v>683.1</v>
      </c>
      <c r="I3">
        <v>688.1</v>
      </c>
      <c r="J3">
        <v>63.9</v>
      </c>
      <c r="K3">
        <v>189.3</v>
      </c>
      <c r="L3">
        <v>778.6</v>
      </c>
      <c r="M3">
        <v>827.7</v>
      </c>
      <c r="O3">
        <v>2008</v>
      </c>
      <c r="Q3">
        <v>2003</v>
      </c>
      <c r="R3" t="s">
        <v>47</v>
      </c>
      <c r="S3">
        <v>464.9</v>
      </c>
      <c r="T3">
        <v>73.5</v>
      </c>
      <c r="U3">
        <f>SUM(S3:T3)</f>
        <v>538.4</v>
      </c>
      <c r="V3" t="s">
        <v>11</v>
      </c>
      <c r="W3">
        <v>683.1</v>
      </c>
      <c r="X3">
        <v>688.1</v>
      </c>
      <c r="Y3">
        <v>63.9</v>
      </c>
      <c r="Z3">
        <v>189.3</v>
      </c>
      <c r="AA3">
        <v>778.6</v>
      </c>
      <c r="AB3">
        <v>827.7</v>
      </c>
    </row>
    <row r="4" spans="1:28" x14ac:dyDescent="0.25">
      <c r="A4">
        <v>2003</v>
      </c>
      <c r="B4" t="s">
        <v>50</v>
      </c>
      <c r="C4">
        <v>23.7</v>
      </c>
      <c r="D4">
        <v>31.4</v>
      </c>
      <c r="E4">
        <v>23.9</v>
      </c>
      <c r="F4">
        <v>99.7</v>
      </c>
      <c r="G4" t="s">
        <v>11</v>
      </c>
      <c r="H4">
        <v>670.9</v>
      </c>
      <c r="I4">
        <v>728.4</v>
      </c>
      <c r="J4">
        <v>143.9</v>
      </c>
      <c r="K4">
        <v>279.8</v>
      </c>
      <c r="L4">
        <v>789.9</v>
      </c>
      <c r="M4">
        <v>99.7</v>
      </c>
      <c r="O4">
        <v>2017</v>
      </c>
    </row>
    <row r="5" spans="1:28" x14ac:dyDescent="0.25">
      <c r="A5">
        <v>2003</v>
      </c>
      <c r="B5" t="s">
        <v>9</v>
      </c>
      <c r="C5">
        <v>46.5</v>
      </c>
      <c r="D5">
        <v>36</v>
      </c>
      <c r="E5">
        <v>5.0999999999999996</v>
      </c>
      <c r="F5">
        <v>93</v>
      </c>
      <c r="G5" t="s">
        <v>11</v>
      </c>
      <c r="H5">
        <v>631.5</v>
      </c>
      <c r="I5">
        <v>648.5</v>
      </c>
      <c r="J5">
        <v>57</v>
      </c>
      <c r="K5">
        <v>458</v>
      </c>
      <c r="L5">
        <v>685.4</v>
      </c>
      <c r="M5">
        <v>93</v>
      </c>
      <c r="O5">
        <v>2020</v>
      </c>
    </row>
    <row r="6" spans="1:28" x14ac:dyDescent="0.25">
      <c r="A6">
        <v>2005</v>
      </c>
      <c r="B6" t="s">
        <v>52</v>
      </c>
      <c r="C6">
        <v>16.3</v>
      </c>
      <c r="D6">
        <v>11.6</v>
      </c>
      <c r="E6">
        <v>2.5</v>
      </c>
      <c r="F6">
        <v>40</v>
      </c>
      <c r="G6" t="s">
        <v>11</v>
      </c>
      <c r="H6">
        <v>706</v>
      </c>
      <c r="I6">
        <v>723.5</v>
      </c>
      <c r="J6">
        <v>28.3</v>
      </c>
      <c r="K6">
        <v>654.4</v>
      </c>
      <c r="L6">
        <v>728.3</v>
      </c>
      <c r="M6">
        <v>40</v>
      </c>
      <c r="O6">
        <v>2023</v>
      </c>
      <c r="Q6">
        <v>2008</v>
      </c>
      <c r="R6" t="s">
        <v>12</v>
      </c>
      <c r="S6">
        <v>705.4</v>
      </c>
      <c r="T6">
        <v>30.6</v>
      </c>
      <c r="U6">
        <f t="shared" ref="U4:U22" si="0">SUM(S6:T6)</f>
        <v>736</v>
      </c>
      <c r="V6" t="s">
        <v>11</v>
      </c>
      <c r="W6">
        <v>654.5</v>
      </c>
      <c r="X6">
        <v>662.1</v>
      </c>
      <c r="Y6">
        <v>77.8</v>
      </c>
      <c r="Z6">
        <v>263.2</v>
      </c>
      <c r="AA6">
        <v>743.8</v>
      </c>
      <c r="AB6">
        <v>1487.3</v>
      </c>
    </row>
    <row r="7" spans="1:28" x14ac:dyDescent="0.25">
      <c r="A7">
        <v>2008</v>
      </c>
      <c r="B7" t="s">
        <v>12</v>
      </c>
      <c r="C7">
        <v>705.4</v>
      </c>
      <c r="D7">
        <v>174.1</v>
      </c>
      <c r="E7">
        <v>30.6</v>
      </c>
      <c r="F7">
        <v>1487.3</v>
      </c>
      <c r="G7" t="s">
        <v>11</v>
      </c>
      <c r="H7">
        <v>654.5</v>
      </c>
      <c r="I7">
        <v>662.1</v>
      </c>
      <c r="J7">
        <v>77.8</v>
      </c>
      <c r="K7">
        <v>263.2</v>
      </c>
      <c r="L7">
        <v>743.8</v>
      </c>
      <c r="M7">
        <v>1487.3</v>
      </c>
      <c r="Q7">
        <v>2008</v>
      </c>
      <c r="R7" t="s">
        <v>54</v>
      </c>
      <c r="S7">
        <v>825.4</v>
      </c>
      <c r="T7">
        <v>20</v>
      </c>
      <c r="U7">
        <f t="shared" si="0"/>
        <v>845.4</v>
      </c>
      <c r="V7" t="s">
        <v>11</v>
      </c>
      <c r="W7">
        <v>699.1</v>
      </c>
      <c r="X7">
        <v>714.5</v>
      </c>
      <c r="Y7">
        <v>67.599999999999994</v>
      </c>
      <c r="Z7">
        <v>258.8</v>
      </c>
      <c r="AA7">
        <v>795.4</v>
      </c>
      <c r="AB7">
        <v>1634.4</v>
      </c>
    </row>
    <row r="8" spans="1:28" x14ac:dyDescent="0.25">
      <c r="A8">
        <v>2008</v>
      </c>
      <c r="B8" t="s">
        <v>54</v>
      </c>
      <c r="C8">
        <v>825.4</v>
      </c>
      <c r="D8">
        <v>209.3</v>
      </c>
      <c r="E8">
        <v>20</v>
      </c>
      <c r="F8">
        <v>1634.4</v>
      </c>
      <c r="G8" t="s">
        <v>11</v>
      </c>
      <c r="H8">
        <v>699.1</v>
      </c>
      <c r="I8">
        <v>714.5</v>
      </c>
      <c r="J8">
        <v>67.599999999999994</v>
      </c>
      <c r="K8">
        <v>258.8</v>
      </c>
      <c r="L8">
        <v>795.4</v>
      </c>
      <c r="M8">
        <v>1634.4</v>
      </c>
      <c r="Q8">
        <v>2008</v>
      </c>
      <c r="R8" t="s">
        <v>56</v>
      </c>
      <c r="S8">
        <v>860.2</v>
      </c>
      <c r="T8">
        <v>50.1</v>
      </c>
      <c r="U8">
        <f t="shared" si="0"/>
        <v>910.30000000000007</v>
      </c>
      <c r="V8" t="s">
        <v>11</v>
      </c>
      <c r="W8">
        <v>700.4</v>
      </c>
      <c r="X8">
        <v>722.7</v>
      </c>
      <c r="Y8">
        <v>84.2</v>
      </c>
      <c r="Z8">
        <v>264.10000000000002</v>
      </c>
      <c r="AA8">
        <v>758.4</v>
      </c>
      <c r="AB8">
        <v>1932.1</v>
      </c>
    </row>
    <row r="9" spans="1:28" x14ac:dyDescent="0.25">
      <c r="A9">
        <v>2008</v>
      </c>
      <c r="B9" t="s">
        <v>56</v>
      </c>
      <c r="C9">
        <v>860.2</v>
      </c>
      <c r="D9">
        <v>254.3</v>
      </c>
      <c r="E9">
        <v>50.1</v>
      </c>
      <c r="F9">
        <v>1932.1</v>
      </c>
      <c r="G9" t="s">
        <v>11</v>
      </c>
      <c r="H9">
        <v>700.4</v>
      </c>
      <c r="I9">
        <v>722.7</v>
      </c>
      <c r="J9">
        <v>84.2</v>
      </c>
      <c r="K9">
        <v>264.10000000000002</v>
      </c>
      <c r="L9">
        <v>758.4</v>
      </c>
      <c r="M9">
        <v>1932.1</v>
      </c>
      <c r="Q9">
        <v>2008</v>
      </c>
      <c r="R9" t="s">
        <v>68</v>
      </c>
      <c r="S9">
        <v>232.2</v>
      </c>
      <c r="T9">
        <v>8</v>
      </c>
      <c r="U9">
        <f t="shared" si="0"/>
        <v>240.2</v>
      </c>
      <c r="V9" t="s">
        <v>11</v>
      </c>
      <c r="W9">
        <v>706.5</v>
      </c>
      <c r="X9">
        <v>730.2</v>
      </c>
      <c r="Y9">
        <v>50.7</v>
      </c>
      <c r="Z9">
        <v>585.20000000000005</v>
      </c>
      <c r="AA9">
        <v>827.6</v>
      </c>
      <c r="AB9">
        <v>393.7</v>
      </c>
    </row>
    <row r="10" spans="1:28" x14ac:dyDescent="0.25">
      <c r="A10">
        <v>2008</v>
      </c>
      <c r="B10" t="s">
        <v>64</v>
      </c>
      <c r="C10">
        <v>73.8</v>
      </c>
      <c r="D10">
        <v>9</v>
      </c>
      <c r="E10">
        <v>0</v>
      </c>
      <c r="F10">
        <v>132.19999999999999</v>
      </c>
      <c r="G10" t="s">
        <v>11</v>
      </c>
      <c r="H10">
        <v>723.9</v>
      </c>
      <c r="I10">
        <v>728.5</v>
      </c>
      <c r="J10">
        <v>17.399999999999999</v>
      </c>
      <c r="K10">
        <v>688.2</v>
      </c>
      <c r="L10">
        <v>752.8</v>
      </c>
      <c r="M10">
        <v>132.19999999999999</v>
      </c>
      <c r="Q10">
        <v>2008</v>
      </c>
      <c r="R10" t="s">
        <v>70</v>
      </c>
      <c r="S10">
        <v>397.5</v>
      </c>
      <c r="T10">
        <v>10.6</v>
      </c>
      <c r="U10">
        <f t="shared" si="0"/>
        <v>408.1</v>
      </c>
      <c r="V10" t="s">
        <v>11</v>
      </c>
      <c r="W10">
        <v>698.8</v>
      </c>
      <c r="X10">
        <v>719.2</v>
      </c>
      <c r="Y10">
        <v>86.5</v>
      </c>
      <c r="Z10">
        <v>268.8</v>
      </c>
      <c r="AA10">
        <v>756.5</v>
      </c>
      <c r="AB10">
        <v>769.3</v>
      </c>
    </row>
    <row r="11" spans="1:28" x14ac:dyDescent="0.25">
      <c r="A11">
        <v>2008</v>
      </c>
      <c r="B11" t="s">
        <v>66</v>
      </c>
      <c r="C11">
        <v>50.5</v>
      </c>
      <c r="D11">
        <v>23.1</v>
      </c>
      <c r="E11">
        <v>15</v>
      </c>
      <c r="F11">
        <v>194.3</v>
      </c>
      <c r="G11" t="s">
        <v>11</v>
      </c>
      <c r="H11">
        <v>723.5</v>
      </c>
      <c r="I11">
        <v>718.1</v>
      </c>
      <c r="J11">
        <v>44.9</v>
      </c>
      <c r="K11">
        <v>566.4</v>
      </c>
      <c r="L11">
        <v>802.5</v>
      </c>
      <c r="M11">
        <v>194.3</v>
      </c>
      <c r="Q11">
        <v>2008</v>
      </c>
      <c r="R11" t="s">
        <v>74</v>
      </c>
      <c r="S11">
        <v>312.60000000000002</v>
      </c>
      <c r="T11">
        <v>7.6</v>
      </c>
      <c r="U11">
        <f t="shared" si="0"/>
        <v>320.20000000000005</v>
      </c>
      <c r="V11" t="s">
        <v>11</v>
      </c>
      <c r="W11">
        <v>686.3</v>
      </c>
      <c r="X11">
        <v>725.7</v>
      </c>
      <c r="Y11">
        <v>94.3</v>
      </c>
      <c r="Z11">
        <v>365.6</v>
      </c>
      <c r="AA11">
        <v>828.3</v>
      </c>
      <c r="AB11">
        <v>679.3</v>
      </c>
    </row>
    <row r="12" spans="1:28" x14ac:dyDescent="0.25">
      <c r="A12">
        <v>2008</v>
      </c>
      <c r="B12" t="s">
        <v>68</v>
      </c>
      <c r="C12">
        <v>232.2</v>
      </c>
      <c r="D12">
        <v>77.2</v>
      </c>
      <c r="E12">
        <v>8</v>
      </c>
      <c r="F12">
        <v>393.7</v>
      </c>
      <c r="G12" t="s">
        <v>11</v>
      </c>
      <c r="H12">
        <v>706.5</v>
      </c>
      <c r="I12">
        <v>730.2</v>
      </c>
      <c r="J12">
        <v>50.7</v>
      </c>
      <c r="K12">
        <v>585.20000000000005</v>
      </c>
      <c r="L12">
        <v>827.6</v>
      </c>
      <c r="M12">
        <v>393.7</v>
      </c>
      <c r="Q12">
        <v>2008</v>
      </c>
      <c r="R12" t="s">
        <v>16</v>
      </c>
      <c r="S12">
        <v>1186.8</v>
      </c>
      <c r="T12">
        <v>103.8</v>
      </c>
      <c r="U12">
        <f t="shared" si="0"/>
        <v>1290.5999999999999</v>
      </c>
      <c r="V12" t="s">
        <v>11</v>
      </c>
      <c r="W12">
        <v>646.4</v>
      </c>
      <c r="X12">
        <v>651.6</v>
      </c>
      <c r="Y12">
        <v>77.3</v>
      </c>
      <c r="Z12">
        <v>236.1</v>
      </c>
      <c r="AA12">
        <v>785.2</v>
      </c>
      <c r="AB12">
        <v>2272</v>
      </c>
    </row>
    <row r="13" spans="1:28" x14ac:dyDescent="0.25">
      <c r="A13">
        <v>2008</v>
      </c>
      <c r="B13" t="s">
        <v>70</v>
      </c>
      <c r="C13">
        <v>397.5</v>
      </c>
      <c r="D13">
        <v>134</v>
      </c>
      <c r="E13">
        <v>10.6</v>
      </c>
      <c r="F13">
        <v>769.3</v>
      </c>
      <c r="G13" t="s">
        <v>11</v>
      </c>
      <c r="H13">
        <v>698.8</v>
      </c>
      <c r="I13">
        <v>719.2</v>
      </c>
      <c r="J13">
        <v>86.5</v>
      </c>
      <c r="K13">
        <v>268.8</v>
      </c>
      <c r="L13">
        <v>756.5</v>
      </c>
      <c r="M13">
        <v>769.3</v>
      </c>
    </row>
    <row r="14" spans="1:28" x14ac:dyDescent="0.25">
      <c r="A14">
        <v>2008</v>
      </c>
      <c r="B14" t="s">
        <v>74</v>
      </c>
      <c r="C14">
        <v>312.60000000000002</v>
      </c>
      <c r="D14">
        <v>56.4</v>
      </c>
      <c r="E14">
        <v>7.6</v>
      </c>
      <c r="F14">
        <v>679.3</v>
      </c>
      <c r="G14" t="s">
        <v>11</v>
      </c>
      <c r="H14">
        <v>686.3</v>
      </c>
      <c r="I14">
        <v>725.7</v>
      </c>
      <c r="J14">
        <v>94.3</v>
      </c>
      <c r="K14">
        <v>365.6</v>
      </c>
      <c r="L14">
        <v>828.3</v>
      </c>
      <c r="M14">
        <v>679.3</v>
      </c>
    </row>
    <row r="15" spans="1:28" x14ac:dyDescent="0.25">
      <c r="A15">
        <v>2008</v>
      </c>
      <c r="B15" t="s">
        <v>76</v>
      </c>
      <c r="C15">
        <v>42.7</v>
      </c>
      <c r="D15">
        <v>19.600000000000001</v>
      </c>
      <c r="E15">
        <v>1.2</v>
      </c>
      <c r="F15">
        <v>89</v>
      </c>
      <c r="G15" t="s">
        <v>11</v>
      </c>
      <c r="H15">
        <v>708.1</v>
      </c>
      <c r="I15">
        <v>739.6</v>
      </c>
      <c r="J15">
        <v>84.4</v>
      </c>
      <c r="K15">
        <v>446.7</v>
      </c>
      <c r="L15">
        <v>750.9</v>
      </c>
      <c r="M15">
        <v>89</v>
      </c>
      <c r="Q15">
        <v>2014</v>
      </c>
      <c r="R15" t="s">
        <v>85</v>
      </c>
      <c r="S15">
        <v>213.3</v>
      </c>
      <c r="T15">
        <v>1.8</v>
      </c>
      <c r="U15">
        <f t="shared" si="0"/>
        <v>215.10000000000002</v>
      </c>
      <c r="V15" t="s">
        <v>11</v>
      </c>
      <c r="W15">
        <v>662.9</v>
      </c>
      <c r="X15">
        <v>685.9</v>
      </c>
      <c r="Y15">
        <v>79.099999999999994</v>
      </c>
      <c r="Z15">
        <v>197.4</v>
      </c>
      <c r="AA15">
        <v>787.9</v>
      </c>
      <c r="AB15">
        <v>277.8</v>
      </c>
    </row>
    <row r="16" spans="1:28" x14ac:dyDescent="0.25">
      <c r="A16">
        <v>2008</v>
      </c>
      <c r="B16" t="s">
        <v>16</v>
      </c>
      <c r="C16">
        <v>1186.8</v>
      </c>
      <c r="D16">
        <v>325.89999999999998</v>
      </c>
      <c r="E16">
        <v>103.8</v>
      </c>
      <c r="F16">
        <v>2272</v>
      </c>
      <c r="G16" t="s">
        <v>11</v>
      </c>
      <c r="H16">
        <v>646.4</v>
      </c>
      <c r="I16">
        <v>651.6</v>
      </c>
      <c r="J16">
        <v>77.3</v>
      </c>
      <c r="K16">
        <v>236.1</v>
      </c>
      <c r="L16">
        <v>785.2</v>
      </c>
      <c r="M16">
        <v>2272</v>
      </c>
      <c r="Q16">
        <v>2017</v>
      </c>
      <c r="R16" t="s">
        <v>87</v>
      </c>
      <c r="S16">
        <v>207.7</v>
      </c>
      <c r="T16">
        <v>147</v>
      </c>
      <c r="U16">
        <f t="shared" si="0"/>
        <v>354.7</v>
      </c>
      <c r="V16" t="s">
        <v>11</v>
      </c>
      <c r="W16">
        <v>660.6</v>
      </c>
      <c r="X16">
        <v>707</v>
      </c>
      <c r="Y16">
        <v>146.9</v>
      </c>
      <c r="Z16">
        <v>196.4</v>
      </c>
      <c r="AA16">
        <v>742</v>
      </c>
      <c r="AB16">
        <v>701.2</v>
      </c>
    </row>
    <row r="17" spans="1:28" x14ac:dyDescent="0.25">
      <c r="A17">
        <v>2009</v>
      </c>
      <c r="B17" t="s">
        <v>22</v>
      </c>
      <c r="C17">
        <v>12.3</v>
      </c>
      <c r="D17">
        <v>24.8</v>
      </c>
      <c r="E17">
        <v>4.5</v>
      </c>
      <c r="F17">
        <v>67.3</v>
      </c>
      <c r="G17" t="s">
        <v>11</v>
      </c>
      <c r="H17">
        <v>647.6</v>
      </c>
      <c r="I17">
        <v>684</v>
      </c>
      <c r="J17">
        <v>151.9</v>
      </c>
      <c r="K17">
        <v>425.8</v>
      </c>
      <c r="L17">
        <v>852.7</v>
      </c>
      <c r="M17">
        <v>66</v>
      </c>
      <c r="Q17">
        <v>2017</v>
      </c>
      <c r="R17" t="s">
        <v>26</v>
      </c>
      <c r="S17">
        <v>324.60000000000002</v>
      </c>
      <c r="T17">
        <v>58.1</v>
      </c>
      <c r="U17">
        <f t="shared" si="0"/>
        <v>382.70000000000005</v>
      </c>
      <c r="V17" t="s">
        <v>11</v>
      </c>
      <c r="W17">
        <v>621.6</v>
      </c>
      <c r="X17">
        <v>677.2</v>
      </c>
      <c r="Y17">
        <v>147.5</v>
      </c>
      <c r="Z17">
        <v>269.3</v>
      </c>
      <c r="AA17">
        <v>848.7</v>
      </c>
      <c r="AB17">
        <v>607.4</v>
      </c>
    </row>
    <row r="18" spans="1:28" x14ac:dyDescent="0.25">
      <c r="A18">
        <v>2012</v>
      </c>
      <c r="B18" t="s">
        <v>83</v>
      </c>
      <c r="C18">
        <v>13.5</v>
      </c>
      <c r="D18">
        <v>21.1</v>
      </c>
      <c r="E18">
        <v>20</v>
      </c>
      <c r="F18">
        <v>57.1</v>
      </c>
      <c r="G18" t="s">
        <v>11</v>
      </c>
      <c r="H18">
        <v>718.8</v>
      </c>
      <c r="I18">
        <v>747.2</v>
      </c>
      <c r="J18">
        <v>81.2</v>
      </c>
      <c r="K18">
        <v>525</v>
      </c>
      <c r="L18">
        <v>799.9</v>
      </c>
      <c r="M18">
        <v>57.1</v>
      </c>
      <c r="Q18">
        <v>2020</v>
      </c>
      <c r="R18" t="s">
        <v>89</v>
      </c>
      <c r="S18">
        <v>124.2</v>
      </c>
      <c r="T18">
        <v>326</v>
      </c>
      <c r="U18">
        <f t="shared" si="0"/>
        <v>450.2</v>
      </c>
      <c r="V18" t="s">
        <v>11</v>
      </c>
      <c r="W18">
        <v>632.20000000000005</v>
      </c>
      <c r="X18">
        <v>691.7</v>
      </c>
      <c r="Y18">
        <v>167.4</v>
      </c>
      <c r="Z18">
        <v>187.7</v>
      </c>
      <c r="AA18">
        <v>837.8</v>
      </c>
      <c r="AB18">
        <v>628.29999999999995</v>
      </c>
    </row>
    <row r="19" spans="1:28" x14ac:dyDescent="0.25">
      <c r="A19">
        <v>2014</v>
      </c>
      <c r="B19" t="s">
        <v>85</v>
      </c>
      <c r="C19">
        <v>213.3</v>
      </c>
      <c r="D19">
        <v>24.9</v>
      </c>
      <c r="E19">
        <v>1.8</v>
      </c>
      <c r="F19">
        <v>277.8</v>
      </c>
      <c r="G19" t="s">
        <v>11</v>
      </c>
      <c r="H19">
        <v>662.9</v>
      </c>
      <c r="I19">
        <v>685.9</v>
      </c>
      <c r="J19">
        <v>79.099999999999994</v>
      </c>
      <c r="K19">
        <v>197.4</v>
      </c>
      <c r="L19">
        <v>787.9</v>
      </c>
      <c r="M19">
        <v>277.8</v>
      </c>
      <c r="Q19">
        <v>2020</v>
      </c>
      <c r="R19" t="s">
        <v>91</v>
      </c>
      <c r="S19">
        <v>52.2</v>
      </c>
      <c r="T19">
        <v>110.2</v>
      </c>
      <c r="U19">
        <f t="shared" si="0"/>
        <v>162.4</v>
      </c>
      <c r="V19" t="s">
        <v>11</v>
      </c>
      <c r="W19">
        <v>679.9</v>
      </c>
      <c r="X19">
        <v>721.3</v>
      </c>
      <c r="Y19">
        <v>94.8</v>
      </c>
      <c r="Z19">
        <v>548.20000000000005</v>
      </c>
      <c r="AA19">
        <v>851.1</v>
      </c>
      <c r="AB19">
        <v>221.2</v>
      </c>
    </row>
    <row r="20" spans="1:28" x14ac:dyDescent="0.25">
      <c r="A20">
        <v>2017</v>
      </c>
      <c r="B20" t="s">
        <v>87</v>
      </c>
      <c r="C20">
        <v>207.7</v>
      </c>
      <c r="D20">
        <v>111.3</v>
      </c>
      <c r="E20">
        <v>147</v>
      </c>
      <c r="F20">
        <v>702.4</v>
      </c>
      <c r="G20" t="s">
        <v>11</v>
      </c>
      <c r="H20">
        <v>660.6</v>
      </c>
      <c r="I20">
        <v>707</v>
      </c>
      <c r="J20">
        <v>146.9</v>
      </c>
      <c r="K20">
        <v>196.4</v>
      </c>
      <c r="L20">
        <v>742</v>
      </c>
      <c r="M20">
        <v>701.2</v>
      </c>
      <c r="Q20">
        <v>2020</v>
      </c>
      <c r="R20" t="s">
        <v>34</v>
      </c>
      <c r="S20">
        <v>635.4</v>
      </c>
      <c r="T20">
        <v>278.3</v>
      </c>
      <c r="U20">
        <f t="shared" si="0"/>
        <v>913.7</v>
      </c>
      <c r="V20" t="s">
        <v>11</v>
      </c>
      <c r="W20">
        <v>638</v>
      </c>
      <c r="X20">
        <v>634.79999999999995</v>
      </c>
      <c r="Y20">
        <v>100.2</v>
      </c>
      <c r="Z20">
        <v>324.3</v>
      </c>
      <c r="AA20">
        <v>855.6</v>
      </c>
      <c r="AB20">
        <v>1442.5</v>
      </c>
    </row>
    <row r="21" spans="1:28" x14ac:dyDescent="0.25">
      <c r="A21">
        <v>2017</v>
      </c>
      <c r="B21" t="s">
        <v>26</v>
      </c>
      <c r="C21">
        <v>324.60000000000002</v>
      </c>
      <c r="D21">
        <v>99.3</v>
      </c>
      <c r="E21">
        <v>58.1</v>
      </c>
      <c r="F21">
        <v>607.4</v>
      </c>
      <c r="G21" t="s">
        <v>11</v>
      </c>
      <c r="H21">
        <v>621.6</v>
      </c>
      <c r="I21">
        <v>677.2</v>
      </c>
      <c r="J21">
        <v>147.5</v>
      </c>
      <c r="K21">
        <v>269.3</v>
      </c>
      <c r="L21">
        <v>848.7</v>
      </c>
      <c r="M21">
        <v>607.4</v>
      </c>
      <c r="Q21">
        <v>2021</v>
      </c>
      <c r="R21" t="s">
        <v>36</v>
      </c>
      <c r="S21">
        <v>23.4</v>
      </c>
      <c r="T21">
        <v>1</v>
      </c>
      <c r="U21">
        <f t="shared" si="0"/>
        <v>24.4</v>
      </c>
      <c r="V21" t="s">
        <v>11</v>
      </c>
      <c r="W21">
        <v>632.20000000000005</v>
      </c>
      <c r="X21">
        <v>643.6</v>
      </c>
      <c r="Y21">
        <v>59.7</v>
      </c>
      <c r="Z21">
        <v>480.4</v>
      </c>
      <c r="AA21">
        <v>712.2</v>
      </c>
      <c r="AB21">
        <v>43.9</v>
      </c>
    </row>
    <row r="22" spans="1:28" x14ac:dyDescent="0.25">
      <c r="A22">
        <v>2020</v>
      </c>
      <c r="B22" t="s">
        <v>89</v>
      </c>
      <c r="C22">
        <v>124.2</v>
      </c>
      <c r="D22">
        <v>162.30000000000001</v>
      </c>
      <c r="E22">
        <v>326</v>
      </c>
      <c r="F22">
        <v>628.29999999999995</v>
      </c>
      <c r="G22" t="s">
        <v>11</v>
      </c>
      <c r="H22">
        <v>632.20000000000005</v>
      </c>
      <c r="I22">
        <v>691.7</v>
      </c>
      <c r="J22">
        <v>167.4</v>
      </c>
      <c r="K22">
        <v>187.7</v>
      </c>
      <c r="L22">
        <v>837.8</v>
      </c>
      <c r="M22">
        <v>628.29999999999995</v>
      </c>
      <c r="Q22" s="2">
        <v>2023</v>
      </c>
      <c r="R22" s="2" t="s">
        <v>38</v>
      </c>
      <c r="S22" s="2">
        <v>162.4</v>
      </c>
      <c r="T22" s="2">
        <v>3.4</v>
      </c>
      <c r="U22">
        <f t="shared" si="0"/>
        <v>165.8</v>
      </c>
      <c r="V22" s="2" t="s">
        <v>11</v>
      </c>
      <c r="W22" s="2">
        <v>623.70000000000005</v>
      </c>
      <c r="X22" s="2">
        <v>623.4</v>
      </c>
      <c r="Y22" s="2">
        <v>8.4</v>
      </c>
      <c r="Z22" s="2">
        <v>606.4</v>
      </c>
      <c r="AA22" s="2">
        <v>652.5</v>
      </c>
      <c r="AB22" s="2">
        <v>291.89999999999998</v>
      </c>
    </row>
    <row r="23" spans="1:28" x14ac:dyDescent="0.25">
      <c r="A23">
        <v>2020</v>
      </c>
      <c r="B23" t="s">
        <v>91</v>
      </c>
      <c r="C23">
        <v>52.2</v>
      </c>
      <c r="D23">
        <v>48.7</v>
      </c>
      <c r="E23">
        <v>110.2</v>
      </c>
      <c r="F23">
        <v>221.2</v>
      </c>
      <c r="G23" t="s">
        <v>11</v>
      </c>
      <c r="H23">
        <v>679.9</v>
      </c>
      <c r="I23">
        <v>721.3</v>
      </c>
      <c r="J23">
        <v>94.8</v>
      </c>
      <c r="K23">
        <v>548.20000000000005</v>
      </c>
      <c r="L23">
        <v>851.1</v>
      </c>
      <c r="M23">
        <v>221.2</v>
      </c>
    </row>
    <row r="24" spans="1:28" x14ac:dyDescent="0.25">
      <c r="A24">
        <v>2020</v>
      </c>
      <c r="B24" t="s">
        <v>34</v>
      </c>
      <c r="C24">
        <v>635.4</v>
      </c>
      <c r="D24">
        <v>279.5</v>
      </c>
      <c r="E24">
        <v>278.3</v>
      </c>
      <c r="F24">
        <v>1442.5</v>
      </c>
      <c r="G24" t="s">
        <v>11</v>
      </c>
      <c r="H24">
        <v>638</v>
      </c>
      <c r="I24">
        <v>634.79999999999995</v>
      </c>
      <c r="J24">
        <v>100.2</v>
      </c>
      <c r="K24">
        <v>324.3</v>
      </c>
      <c r="L24">
        <v>855.6</v>
      </c>
      <c r="M24">
        <v>1442.5</v>
      </c>
    </row>
    <row r="25" spans="1:28" x14ac:dyDescent="0.25">
      <c r="A25">
        <v>2021</v>
      </c>
      <c r="B25" t="s">
        <v>36</v>
      </c>
      <c r="C25">
        <v>23.4</v>
      </c>
      <c r="D25">
        <v>16.2</v>
      </c>
      <c r="E25">
        <v>1</v>
      </c>
      <c r="F25">
        <v>43.9</v>
      </c>
      <c r="G25" t="s">
        <v>11</v>
      </c>
      <c r="H25">
        <v>632.20000000000005</v>
      </c>
      <c r="I25">
        <v>643.6</v>
      </c>
      <c r="J25">
        <v>59.7</v>
      </c>
      <c r="K25">
        <v>480.4</v>
      </c>
      <c r="L25">
        <v>712.2</v>
      </c>
      <c r="M25">
        <v>43.9</v>
      </c>
    </row>
    <row r="26" spans="1:28" x14ac:dyDescent="0.25">
      <c r="A26" s="2">
        <v>2023</v>
      </c>
      <c r="B26" s="2" t="s">
        <v>38</v>
      </c>
      <c r="C26" s="2">
        <v>162.4</v>
      </c>
      <c r="D26" s="2">
        <v>27.9</v>
      </c>
      <c r="E26" s="2">
        <v>3.4</v>
      </c>
      <c r="F26" s="2">
        <v>291.89999999999998</v>
      </c>
      <c r="G26" s="2" t="s">
        <v>11</v>
      </c>
      <c r="H26" s="2">
        <v>623.70000000000005</v>
      </c>
      <c r="I26" s="2">
        <v>623.4</v>
      </c>
      <c r="J26" s="2">
        <v>8.4</v>
      </c>
      <c r="K26" s="2">
        <v>606.4</v>
      </c>
      <c r="L26" s="2">
        <v>652.5</v>
      </c>
      <c r="M26" s="2">
        <v>291.89999999999998</v>
      </c>
    </row>
    <row r="28" spans="1:28" x14ac:dyDescent="0.25">
      <c r="Q28">
        <v>2003</v>
      </c>
      <c r="R28" t="s">
        <v>50</v>
      </c>
      <c r="S28">
        <v>23.7</v>
      </c>
      <c r="T28">
        <v>23.9</v>
      </c>
      <c r="U28">
        <f>SUM(S28:T28)</f>
        <v>47.599999999999994</v>
      </c>
      <c r="V28" t="s">
        <v>11</v>
      </c>
      <c r="W28">
        <v>670.9</v>
      </c>
      <c r="X28">
        <v>728.4</v>
      </c>
      <c r="Y28">
        <v>143.9</v>
      </c>
      <c r="Z28">
        <v>279.8</v>
      </c>
      <c r="AA28">
        <v>789.9</v>
      </c>
      <c r="AB28">
        <v>99.7</v>
      </c>
    </row>
    <row r="29" spans="1:28" x14ac:dyDescent="0.25">
      <c r="A29" s="1" t="s">
        <v>42</v>
      </c>
      <c r="Q29">
        <v>2003</v>
      </c>
      <c r="R29" t="s">
        <v>9</v>
      </c>
      <c r="S29">
        <v>46.5</v>
      </c>
      <c r="T29">
        <v>5.0999999999999996</v>
      </c>
      <c r="U29">
        <f>SUM(S29:T29)</f>
        <v>51.6</v>
      </c>
      <c r="V29" t="s">
        <v>11</v>
      </c>
      <c r="W29">
        <v>631.5</v>
      </c>
      <c r="X29">
        <v>648.5</v>
      </c>
      <c r="Y29">
        <v>57</v>
      </c>
      <c r="Z29">
        <v>458</v>
      </c>
      <c r="AA29">
        <v>685.4</v>
      </c>
      <c r="AB29">
        <v>93</v>
      </c>
    </row>
    <row r="30" spans="1:28" x14ac:dyDescent="0.25">
      <c r="A30" t="s">
        <v>0</v>
      </c>
      <c r="B30" t="s">
        <v>1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97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  <c r="Q30">
        <v>2009</v>
      </c>
      <c r="R30" t="s">
        <v>22</v>
      </c>
      <c r="S30">
        <v>12.3</v>
      </c>
      <c r="T30">
        <v>4.5</v>
      </c>
      <c r="U30">
        <f>SUM(S30:T30)</f>
        <v>16.8</v>
      </c>
      <c r="V30" t="s">
        <v>11</v>
      </c>
      <c r="W30">
        <v>647.6</v>
      </c>
      <c r="X30">
        <v>684</v>
      </c>
      <c r="Y30">
        <v>151.9</v>
      </c>
      <c r="Z30">
        <v>425.8</v>
      </c>
      <c r="AA30">
        <v>852.7</v>
      </c>
      <c r="AB30">
        <v>66</v>
      </c>
    </row>
    <row r="31" spans="1:28" x14ac:dyDescent="0.25">
      <c r="A31">
        <v>2008</v>
      </c>
      <c r="B31" t="s">
        <v>40</v>
      </c>
      <c r="C31">
        <v>374.2</v>
      </c>
      <c r="D31">
        <v>243.2</v>
      </c>
      <c r="E31">
        <v>56.1</v>
      </c>
      <c r="F31">
        <v>727.9</v>
      </c>
      <c r="G31" t="s">
        <v>42</v>
      </c>
      <c r="H31">
        <v>424.9</v>
      </c>
      <c r="I31">
        <v>422.2</v>
      </c>
      <c r="J31">
        <v>114.8</v>
      </c>
      <c r="K31">
        <v>216.9</v>
      </c>
      <c r="L31">
        <v>801.2</v>
      </c>
      <c r="M31">
        <v>718.7</v>
      </c>
      <c r="Q31">
        <v>2012</v>
      </c>
      <c r="R31" t="s">
        <v>83</v>
      </c>
      <c r="S31">
        <v>13.5</v>
      </c>
      <c r="T31">
        <v>20</v>
      </c>
      <c r="U31">
        <f>SUM(S31:T31)</f>
        <v>33.5</v>
      </c>
      <c r="V31" t="s">
        <v>11</v>
      </c>
      <c r="W31">
        <v>718.8</v>
      </c>
      <c r="X31">
        <v>747.2</v>
      </c>
      <c r="Y31">
        <v>81.2</v>
      </c>
      <c r="Z31">
        <v>525</v>
      </c>
      <c r="AA31">
        <v>799.9</v>
      </c>
      <c r="AB31">
        <v>57.1</v>
      </c>
    </row>
    <row r="32" spans="1:28" x14ac:dyDescent="0.25">
      <c r="A32">
        <v>2008</v>
      </c>
      <c r="B32" t="s">
        <v>14</v>
      </c>
      <c r="C32">
        <v>24.4</v>
      </c>
      <c r="D32">
        <v>16.2</v>
      </c>
      <c r="E32">
        <v>17.600000000000001</v>
      </c>
      <c r="F32">
        <v>63.1</v>
      </c>
      <c r="G32" t="s">
        <v>42</v>
      </c>
      <c r="H32">
        <v>560.79999999999995</v>
      </c>
      <c r="I32">
        <v>501.5</v>
      </c>
      <c r="J32">
        <v>156.80000000000001</v>
      </c>
      <c r="K32">
        <v>182.5</v>
      </c>
      <c r="L32">
        <v>824.4</v>
      </c>
      <c r="M32">
        <v>58.5</v>
      </c>
    </row>
    <row r="33" spans="1:13" x14ac:dyDescent="0.25">
      <c r="A33">
        <v>2008</v>
      </c>
      <c r="B33" t="s">
        <v>18</v>
      </c>
      <c r="C33">
        <v>296.89999999999998</v>
      </c>
      <c r="D33">
        <v>169</v>
      </c>
      <c r="E33">
        <v>155.4</v>
      </c>
      <c r="F33">
        <v>792</v>
      </c>
      <c r="G33" t="s">
        <v>42</v>
      </c>
      <c r="H33">
        <v>567.4</v>
      </c>
      <c r="I33">
        <v>571.6</v>
      </c>
      <c r="J33">
        <v>104.7</v>
      </c>
      <c r="K33">
        <v>319.10000000000002</v>
      </c>
      <c r="L33">
        <v>764.8</v>
      </c>
      <c r="M33">
        <v>790.7</v>
      </c>
    </row>
    <row r="34" spans="1:13" x14ac:dyDescent="0.25">
      <c r="A34">
        <v>2009</v>
      </c>
      <c r="B34" t="s">
        <v>20</v>
      </c>
      <c r="C34">
        <v>43.2</v>
      </c>
      <c r="D34">
        <v>10.4</v>
      </c>
      <c r="E34">
        <v>1</v>
      </c>
      <c r="F34">
        <v>63.4</v>
      </c>
      <c r="G34" t="s">
        <v>42</v>
      </c>
      <c r="H34">
        <v>574</v>
      </c>
      <c r="I34">
        <v>650.29999999999995</v>
      </c>
      <c r="J34">
        <v>103.7</v>
      </c>
      <c r="K34">
        <v>440.5</v>
      </c>
      <c r="L34">
        <v>672.1</v>
      </c>
      <c r="M34">
        <v>63.4</v>
      </c>
    </row>
    <row r="35" spans="1:13" x14ac:dyDescent="0.25">
      <c r="A35">
        <v>2013</v>
      </c>
      <c r="B35" t="s">
        <v>43</v>
      </c>
      <c r="C35">
        <v>48.3</v>
      </c>
      <c r="D35">
        <v>30.5</v>
      </c>
      <c r="E35">
        <v>9.5</v>
      </c>
      <c r="F35">
        <v>89.6</v>
      </c>
      <c r="G35" t="s">
        <v>42</v>
      </c>
      <c r="H35">
        <v>416.8</v>
      </c>
      <c r="I35">
        <v>427.5</v>
      </c>
      <c r="J35">
        <v>83.3</v>
      </c>
      <c r="K35">
        <v>284</v>
      </c>
      <c r="L35">
        <v>587.20000000000005</v>
      </c>
      <c r="M35">
        <v>89.6</v>
      </c>
    </row>
    <row r="36" spans="1:13" x14ac:dyDescent="0.25">
      <c r="A36">
        <v>2016</v>
      </c>
      <c r="B36" t="s">
        <v>22</v>
      </c>
      <c r="C36">
        <v>11.9</v>
      </c>
      <c r="D36">
        <v>21.5</v>
      </c>
      <c r="E36">
        <v>21.7</v>
      </c>
      <c r="F36">
        <v>56.6</v>
      </c>
      <c r="G36" t="s">
        <v>42</v>
      </c>
      <c r="H36">
        <v>522.6</v>
      </c>
      <c r="I36">
        <v>567.6</v>
      </c>
      <c r="J36">
        <v>101.2</v>
      </c>
      <c r="K36">
        <v>413.9</v>
      </c>
      <c r="L36">
        <v>751.9</v>
      </c>
      <c r="M36">
        <v>56.6</v>
      </c>
    </row>
    <row r="37" spans="1:13" x14ac:dyDescent="0.25">
      <c r="A37">
        <v>2016</v>
      </c>
      <c r="B37" t="s">
        <v>45</v>
      </c>
      <c r="C37">
        <v>700.6</v>
      </c>
      <c r="D37">
        <v>404.2</v>
      </c>
      <c r="E37">
        <v>165.5</v>
      </c>
      <c r="F37">
        <v>1510</v>
      </c>
      <c r="G37" t="s">
        <v>42</v>
      </c>
      <c r="H37">
        <v>422.3</v>
      </c>
      <c r="I37">
        <v>408.7</v>
      </c>
      <c r="J37">
        <v>91.3</v>
      </c>
      <c r="K37">
        <v>230.7</v>
      </c>
      <c r="L37">
        <v>801.2</v>
      </c>
      <c r="M37">
        <v>1502.8</v>
      </c>
    </row>
    <row r="38" spans="1:13" x14ac:dyDescent="0.25">
      <c r="A38">
        <v>2017</v>
      </c>
      <c r="B38" t="s">
        <v>24</v>
      </c>
      <c r="C38">
        <v>67.900000000000006</v>
      </c>
      <c r="D38">
        <v>42.4</v>
      </c>
      <c r="E38">
        <v>2.8</v>
      </c>
      <c r="F38">
        <v>126.1</v>
      </c>
      <c r="G38" t="s">
        <v>42</v>
      </c>
      <c r="H38">
        <v>538.5</v>
      </c>
      <c r="I38">
        <v>544.20000000000005</v>
      </c>
      <c r="J38">
        <v>42</v>
      </c>
      <c r="K38">
        <v>412.4</v>
      </c>
      <c r="L38">
        <v>614.5</v>
      </c>
      <c r="M38">
        <v>126.1</v>
      </c>
    </row>
    <row r="39" spans="1:13" x14ac:dyDescent="0.25">
      <c r="A39">
        <v>2017</v>
      </c>
      <c r="B39" t="s">
        <v>28</v>
      </c>
      <c r="C39">
        <v>38.799999999999997</v>
      </c>
      <c r="D39">
        <v>69.5</v>
      </c>
      <c r="E39">
        <v>73.599999999999994</v>
      </c>
      <c r="F39">
        <v>190.1</v>
      </c>
      <c r="G39" t="s">
        <v>42</v>
      </c>
      <c r="H39">
        <v>602.79999999999995</v>
      </c>
      <c r="I39">
        <v>585</v>
      </c>
      <c r="J39">
        <v>161.30000000000001</v>
      </c>
      <c r="K39">
        <v>0</v>
      </c>
      <c r="L39">
        <v>860.5</v>
      </c>
      <c r="M39">
        <v>188.8</v>
      </c>
    </row>
    <row r="40" spans="1:13" x14ac:dyDescent="0.25">
      <c r="A40">
        <v>2019</v>
      </c>
      <c r="B40" t="s">
        <v>30</v>
      </c>
      <c r="C40">
        <v>23.7</v>
      </c>
      <c r="D40">
        <v>9.6999999999999993</v>
      </c>
      <c r="E40">
        <v>5.4</v>
      </c>
      <c r="F40">
        <v>54.9</v>
      </c>
      <c r="G40" t="s">
        <v>42</v>
      </c>
      <c r="H40">
        <v>558.20000000000005</v>
      </c>
      <c r="I40">
        <v>659.7</v>
      </c>
      <c r="J40">
        <v>191.5</v>
      </c>
      <c r="K40">
        <v>0</v>
      </c>
      <c r="L40">
        <v>826.7</v>
      </c>
      <c r="M40">
        <v>54.9</v>
      </c>
    </row>
    <row r="41" spans="1:13" x14ac:dyDescent="0.25">
      <c r="A41">
        <v>2020</v>
      </c>
      <c r="B41" t="s">
        <v>32</v>
      </c>
      <c r="C41">
        <v>7130</v>
      </c>
      <c r="D41">
        <v>4536.7</v>
      </c>
      <c r="E41">
        <v>9091.2000000000007</v>
      </c>
      <c r="F41">
        <v>21957.9</v>
      </c>
      <c r="G41" t="s">
        <v>42</v>
      </c>
      <c r="H41">
        <v>588.4</v>
      </c>
      <c r="I41">
        <v>595.9</v>
      </c>
      <c r="J41">
        <v>103.7</v>
      </c>
      <c r="K41">
        <v>73.5</v>
      </c>
      <c r="L41">
        <v>847.6</v>
      </c>
      <c r="M41">
        <v>21819.3</v>
      </c>
    </row>
    <row r="43" spans="1:13" x14ac:dyDescent="0.25">
      <c r="A43" s="1" t="s">
        <v>49</v>
      </c>
    </row>
    <row r="44" spans="1:13" x14ac:dyDescent="0.25">
      <c r="A44" t="s">
        <v>0</v>
      </c>
      <c r="B44" t="s">
        <v>1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97</v>
      </c>
      <c r="I44" t="s">
        <v>98</v>
      </c>
      <c r="J44" t="s">
        <v>99</v>
      </c>
      <c r="K44" t="s">
        <v>100</v>
      </c>
      <c r="L44" t="s">
        <v>101</v>
      </c>
      <c r="M44" t="s">
        <v>102</v>
      </c>
    </row>
    <row r="45" spans="1:13" x14ac:dyDescent="0.25">
      <c r="A45">
        <v>2008</v>
      </c>
      <c r="B45" t="s">
        <v>58</v>
      </c>
      <c r="C45">
        <v>133.80000000000001</v>
      </c>
      <c r="D45">
        <v>52.8</v>
      </c>
      <c r="E45">
        <v>8</v>
      </c>
      <c r="F45">
        <v>230.9</v>
      </c>
      <c r="G45" t="s">
        <v>49</v>
      </c>
      <c r="H45">
        <v>728</v>
      </c>
      <c r="I45">
        <v>738.3</v>
      </c>
      <c r="J45">
        <v>39.799999999999997</v>
      </c>
      <c r="K45">
        <v>537.79999999999995</v>
      </c>
      <c r="L45">
        <v>750.7</v>
      </c>
      <c r="M45">
        <v>230.9</v>
      </c>
    </row>
    <row r="46" spans="1:13" x14ac:dyDescent="0.25">
      <c r="A46">
        <v>2008</v>
      </c>
      <c r="B46" t="s">
        <v>60</v>
      </c>
      <c r="C46">
        <v>179.4</v>
      </c>
      <c r="D46">
        <v>18.600000000000001</v>
      </c>
      <c r="E46">
        <v>8.1999999999999993</v>
      </c>
      <c r="F46">
        <v>845.8</v>
      </c>
      <c r="G46" t="s">
        <v>49</v>
      </c>
      <c r="H46">
        <v>743</v>
      </c>
      <c r="I46">
        <v>741.7</v>
      </c>
      <c r="J46">
        <v>13.5</v>
      </c>
      <c r="K46">
        <v>714.3</v>
      </c>
      <c r="L46">
        <v>774.4</v>
      </c>
      <c r="M46">
        <v>845.8</v>
      </c>
    </row>
    <row r="47" spans="1:13" x14ac:dyDescent="0.25">
      <c r="A47">
        <v>2008</v>
      </c>
      <c r="B47" t="s">
        <v>62</v>
      </c>
      <c r="C47">
        <v>102.6</v>
      </c>
      <c r="D47">
        <v>5.6</v>
      </c>
      <c r="E47">
        <v>0.6</v>
      </c>
      <c r="F47">
        <v>140.4</v>
      </c>
      <c r="G47" t="s">
        <v>49</v>
      </c>
      <c r="H47">
        <v>754</v>
      </c>
      <c r="I47">
        <v>745.3</v>
      </c>
      <c r="J47">
        <v>59.1</v>
      </c>
      <c r="K47">
        <v>632.1</v>
      </c>
      <c r="L47">
        <v>840.4</v>
      </c>
      <c r="M47">
        <v>140.4</v>
      </c>
    </row>
    <row r="48" spans="1:13" x14ac:dyDescent="0.25">
      <c r="A48">
        <v>2008</v>
      </c>
      <c r="B48" t="s">
        <v>72</v>
      </c>
      <c r="C48">
        <v>409.4</v>
      </c>
      <c r="D48">
        <v>163.80000000000001</v>
      </c>
      <c r="E48">
        <v>18.100000000000001</v>
      </c>
      <c r="F48">
        <v>688.3</v>
      </c>
      <c r="G48" t="s">
        <v>49</v>
      </c>
      <c r="H48">
        <v>727.4</v>
      </c>
      <c r="I48">
        <v>742.6</v>
      </c>
      <c r="J48">
        <v>42.2</v>
      </c>
      <c r="K48">
        <v>555.4</v>
      </c>
      <c r="L48">
        <v>799.2</v>
      </c>
      <c r="M48">
        <v>688.3</v>
      </c>
    </row>
    <row r="49" spans="1:13" x14ac:dyDescent="0.25">
      <c r="A49">
        <v>2008</v>
      </c>
      <c r="B49" t="s">
        <v>78</v>
      </c>
      <c r="C49">
        <v>28.2</v>
      </c>
      <c r="D49">
        <v>17</v>
      </c>
      <c r="E49">
        <v>3.4</v>
      </c>
      <c r="F49">
        <v>58.6</v>
      </c>
      <c r="G49" t="s">
        <v>49</v>
      </c>
      <c r="H49">
        <v>728.5</v>
      </c>
      <c r="I49">
        <v>727.4</v>
      </c>
      <c r="J49">
        <v>15</v>
      </c>
      <c r="K49">
        <v>706.9</v>
      </c>
      <c r="L49">
        <v>770.7</v>
      </c>
      <c r="M49">
        <v>58.6</v>
      </c>
    </row>
    <row r="50" spans="1:13" x14ac:dyDescent="0.25">
      <c r="A50">
        <v>2008</v>
      </c>
      <c r="B50" t="s">
        <v>80</v>
      </c>
      <c r="C50">
        <v>90.5</v>
      </c>
      <c r="D50">
        <v>19.100000000000001</v>
      </c>
      <c r="E50">
        <v>3.1</v>
      </c>
      <c r="F50">
        <v>132.69999999999999</v>
      </c>
      <c r="G50" t="s">
        <v>49</v>
      </c>
      <c r="H50">
        <v>725.7</v>
      </c>
      <c r="I50">
        <v>733</v>
      </c>
      <c r="J50">
        <v>49.4</v>
      </c>
      <c r="K50">
        <v>564</v>
      </c>
      <c r="L50">
        <v>835.9</v>
      </c>
      <c r="M50">
        <v>132.69999999999999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1939-27F7-40F3-BA1A-2699739022E8}">
  <dimension ref="A1:O50"/>
  <sheetViews>
    <sheetView workbookViewId="0">
      <selection activeCell="B37" sqref="B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</row>
    <row r="2" spans="1:15" x14ac:dyDescent="0.25">
      <c r="A2">
        <v>2003</v>
      </c>
      <c r="B2" t="s">
        <v>47</v>
      </c>
      <c r="C2" t="s">
        <v>48</v>
      </c>
      <c r="D2">
        <v>157.19999999999999</v>
      </c>
      <c r="E2">
        <v>464.9</v>
      </c>
      <c r="F2">
        <v>132.1</v>
      </c>
      <c r="G2">
        <v>73.5</v>
      </c>
      <c r="H2">
        <v>827.7</v>
      </c>
      <c r="I2" t="s">
        <v>11</v>
      </c>
      <c r="J2">
        <v>683.1</v>
      </c>
      <c r="K2">
        <v>688.1</v>
      </c>
      <c r="L2">
        <v>63.9</v>
      </c>
      <c r="M2">
        <v>189.3</v>
      </c>
      <c r="N2">
        <v>778.6</v>
      </c>
      <c r="O2">
        <v>827.7</v>
      </c>
    </row>
    <row r="3" spans="1:15" x14ac:dyDescent="0.25">
      <c r="A3">
        <v>2003</v>
      </c>
      <c r="B3" t="s">
        <v>50</v>
      </c>
      <c r="C3" t="s">
        <v>51</v>
      </c>
      <c r="D3">
        <v>20.7</v>
      </c>
      <c r="E3">
        <v>23.7</v>
      </c>
      <c r="F3">
        <v>31.4</v>
      </c>
      <c r="G3">
        <v>23.9</v>
      </c>
      <c r="H3">
        <v>99.7</v>
      </c>
      <c r="I3" t="s">
        <v>11</v>
      </c>
      <c r="J3">
        <v>670.9</v>
      </c>
      <c r="K3">
        <v>728.4</v>
      </c>
      <c r="L3">
        <v>143.9</v>
      </c>
      <c r="M3">
        <v>279.8</v>
      </c>
      <c r="N3">
        <v>789.9</v>
      </c>
      <c r="O3">
        <v>99.7</v>
      </c>
    </row>
    <row r="4" spans="1:15" x14ac:dyDescent="0.25">
      <c r="A4">
        <v>2003</v>
      </c>
      <c r="B4" t="s">
        <v>9</v>
      </c>
      <c r="C4" t="s">
        <v>10</v>
      </c>
      <c r="D4">
        <v>5.4</v>
      </c>
      <c r="E4">
        <v>46.5</v>
      </c>
      <c r="F4">
        <v>36</v>
      </c>
      <c r="G4">
        <v>5.0999999999999996</v>
      </c>
      <c r="H4">
        <v>93</v>
      </c>
      <c r="I4" t="s">
        <v>11</v>
      </c>
      <c r="J4">
        <v>631.5</v>
      </c>
      <c r="K4">
        <v>648.5</v>
      </c>
      <c r="L4">
        <v>57</v>
      </c>
      <c r="M4">
        <v>458</v>
      </c>
      <c r="N4">
        <v>685.4</v>
      </c>
      <c r="O4">
        <v>93</v>
      </c>
    </row>
    <row r="5" spans="1:15" x14ac:dyDescent="0.25">
      <c r="A5">
        <v>2005</v>
      </c>
      <c r="B5" t="s">
        <v>52</v>
      </c>
      <c r="C5" t="s">
        <v>53</v>
      </c>
      <c r="D5">
        <v>9.6</v>
      </c>
      <c r="E5">
        <v>16.3</v>
      </c>
      <c r="F5">
        <v>11.6</v>
      </c>
      <c r="G5">
        <v>2.5</v>
      </c>
      <c r="H5">
        <v>40</v>
      </c>
      <c r="I5" t="s">
        <v>11</v>
      </c>
      <c r="J5">
        <v>706</v>
      </c>
      <c r="K5">
        <v>723.5</v>
      </c>
      <c r="L5">
        <v>28.3</v>
      </c>
      <c r="M5">
        <v>654.4</v>
      </c>
      <c r="N5">
        <v>728.3</v>
      </c>
      <c r="O5">
        <v>40</v>
      </c>
    </row>
    <row r="6" spans="1:15" x14ac:dyDescent="0.25">
      <c r="A6">
        <v>2008</v>
      </c>
      <c r="B6" t="s">
        <v>12</v>
      </c>
      <c r="C6" t="s">
        <v>13</v>
      </c>
      <c r="D6">
        <v>577.20000000000005</v>
      </c>
      <c r="E6">
        <v>705.4</v>
      </c>
      <c r="F6">
        <v>174.1</v>
      </c>
      <c r="G6">
        <v>30.6</v>
      </c>
      <c r="H6">
        <v>1487.3</v>
      </c>
      <c r="I6" t="s">
        <v>11</v>
      </c>
      <c r="J6">
        <v>654.5</v>
      </c>
      <c r="K6">
        <v>662.1</v>
      </c>
      <c r="L6">
        <v>77.8</v>
      </c>
      <c r="M6">
        <v>263.2</v>
      </c>
      <c r="N6">
        <v>743.8</v>
      </c>
      <c r="O6">
        <v>1487.3</v>
      </c>
    </row>
    <row r="7" spans="1:15" x14ac:dyDescent="0.25">
      <c r="A7">
        <v>2008</v>
      </c>
      <c r="B7" t="s">
        <v>54</v>
      </c>
      <c r="C7" t="s">
        <v>55</v>
      </c>
      <c r="D7">
        <v>579.70000000000005</v>
      </c>
      <c r="E7">
        <v>825.4</v>
      </c>
      <c r="F7">
        <v>209.3</v>
      </c>
      <c r="G7">
        <v>20</v>
      </c>
      <c r="H7">
        <v>1634.4</v>
      </c>
      <c r="I7" t="s">
        <v>11</v>
      </c>
      <c r="J7">
        <v>699.1</v>
      </c>
      <c r="K7">
        <v>714.5</v>
      </c>
      <c r="L7">
        <v>67.599999999999994</v>
      </c>
      <c r="M7">
        <v>258.8</v>
      </c>
      <c r="N7">
        <v>795.4</v>
      </c>
      <c r="O7">
        <v>1634.4</v>
      </c>
    </row>
    <row r="8" spans="1:15" x14ac:dyDescent="0.25">
      <c r="A8">
        <v>2008</v>
      </c>
      <c r="B8" t="s">
        <v>56</v>
      </c>
      <c r="C8" t="s">
        <v>57</v>
      </c>
      <c r="D8">
        <v>767.5</v>
      </c>
      <c r="E8">
        <v>860.2</v>
      </c>
      <c r="F8">
        <v>254.3</v>
      </c>
      <c r="G8">
        <v>50.1</v>
      </c>
      <c r="H8">
        <v>1932.1</v>
      </c>
      <c r="I8" t="s">
        <v>11</v>
      </c>
      <c r="J8">
        <v>700.4</v>
      </c>
      <c r="K8">
        <v>722.7</v>
      </c>
      <c r="L8">
        <v>84.2</v>
      </c>
      <c r="M8">
        <v>264.10000000000002</v>
      </c>
      <c r="N8">
        <v>758.4</v>
      </c>
      <c r="O8">
        <v>1932.1</v>
      </c>
    </row>
    <row r="9" spans="1:15" x14ac:dyDescent="0.25">
      <c r="A9">
        <v>2008</v>
      </c>
      <c r="B9" t="s">
        <v>68</v>
      </c>
      <c r="C9" t="s">
        <v>69</v>
      </c>
      <c r="D9">
        <v>76.3</v>
      </c>
      <c r="E9">
        <v>232.2</v>
      </c>
      <c r="F9">
        <v>77.2</v>
      </c>
      <c r="G9">
        <v>8</v>
      </c>
      <c r="H9">
        <v>393.7</v>
      </c>
      <c r="I9" t="s">
        <v>11</v>
      </c>
      <c r="J9">
        <v>706.5</v>
      </c>
      <c r="K9">
        <v>730.2</v>
      </c>
      <c r="L9">
        <v>50.7</v>
      </c>
      <c r="M9">
        <v>585.20000000000005</v>
      </c>
      <c r="N9">
        <v>827.6</v>
      </c>
      <c r="O9">
        <v>393.7</v>
      </c>
    </row>
    <row r="10" spans="1:15" x14ac:dyDescent="0.25">
      <c r="A10">
        <v>2008</v>
      </c>
      <c r="B10" t="s">
        <v>70</v>
      </c>
      <c r="C10" t="s">
        <v>71</v>
      </c>
      <c r="D10">
        <v>227.2</v>
      </c>
      <c r="E10">
        <v>397.5</v>
      </c>
      <c r="F10">
        <v>134</v>
      </c>
      <c r="G10">
        <v>10.6</v>
      </c>
      <c r="H10">
        <v>769.3</v>
      </c>
      <c r="I10" t="s">
        <v>11</v>
      </c>
      <c r="J10">
        <v>698.8</v>
      </c>
      <c r="K10">
        <v>719.2</v>
      </c>
      <c r="L10">
        <v>86.5</v>
      </c>
      <c r="M10">
        <v>268.8</v>
      </c>
      <c r="N10">
        <v>756.5</v>
      </c>
      <c r="O10">
        <v>769.3</v>
      </c>
    </row>
    <row r="11" spans="1:15" x14ac:dyDescent="0.25">
      <c r="A11">
        <v>2008</v>
      </c>
      <c r="B11" t="s">
        <v>74</v>
      </c>
      <c r="C11" t="s">
        <v>75</v>
      </c>
      <c r="D11">
        <v>302.7</v>
      </c>
      <c r="E11">
        <v>312.60000000000002</v>
      </c>
      <c r="F11">
        <v>56.4</v>
      </c>
      <c r="G11">
        <v>7.6</v>
      </c>
      <c r="H11">
        <v>679.3</v>
      </c>
      <c r="I11" t="s">
        <v>11</v>
      </c>
      <c r="J11">
        <v>686.3</v>
      </c>
      <c r="K11">
        <v>725.7</v>
      </c>
      <c r="L11">
        <v>94.3</v>
      </c>
      <c r="M11">
        <v>365.6</v>
      </c>
      <c r="N11">
        <v>828.3</v>
      </c>
      <c r="O11">
        <v>679.3</v>
      </c>
    </row>
    <row r="12" spans="1:15" x14ac:dyDescent="0.25">
      <c r="A12">
        <v>2008</v>
      </c>
      <c r="B12" t="s">
        <v>76</v>
      </c>
      <c r="C12" t="s">
        <v>77</v>
      </c>
      <c r="D12">
        <v>25.5</v>
      </c>
      <c r="E12">
        <v>42.7</v>
      </c>
      <c r="F12">
        <v>19.600000000000001</v>
      </c>
      <c r="G12">
        <v>1.2</v>
      </c>
      <c r="H12">
        <v>89</v>
      </c>
      <c r="I12" t="s">
        <v>11</v>
      </c>
      <c r="J12">
        <v>708.1</v>
      </c>
      <c r="K12">
        <v>739.6</v>
      </c>
      <c r="L12">
        <v>84.4</v>
      </c>
      <c r="M12">
        <v>446.7</v>
      </c>
      <c r="N12">
        <v>750.9</v>
      </c>
      <c r="O12">
        <v>89</v>
      </c>
    </row>
    <row r="13" spans="1:15" x14ac:dyDescent="0.25">
      <c r="A13">
        <v>2008</v>
      </c>
      <c r="B13" t="s">
        <v>16</v>
      </c>
      <c r="C13" t="s">
        <v>17</v>
      </c>
      <c r="D13">
        <v>655.4</v>
      </c>
      <c r="E13">
        <v>1186.8</v>
      </c>
      <c r="F13">
        <v>325.89999999999998</v>
      </c>
      <c r="G13">
        <v>103.8</v>
      </c>
      <c r="H13">
        <v>2272</v>
      </c>
      <c r="I13" t="s">
        <v>11</v>
      </c>
      <c r="J13">
        <v>646.4</v>
      </c>
      <c r="K13">
        <v>651.6</v>
      </c>
      <c r="L13">
        <v>77.3</v>
      </c>
      <c r="M13">
        <v>236.1</v>
      </c>
      <c r="N13">
        <v>785.2</v>
      </c>
      <c r="O13">
        <v>2272</v>
      </c>
    </row>
    <row r="14" spans="1:15" x14ac:dyDescent="0.25">
      <c r="A14">
        <v>2009</v>
      </c>
      <c r="B14" t="s">
        <v>22</v>
      </c>
      <c r="C14" t="s">
        <v>82</v>
      </c>
      <c r="D14">
        <v>25.9</v>
      </c>
      <c r="E14">
        <v>12.3</v>
      </c>
      <c r="F14">
        <v>24.8</v>
      </c>
      <c r="G14">
        <v>4.5</v>
      </c>
      <c r="H14">
        <v>67.3</v>
      </c>
      <c r="I14" t="s">
        <v>11</v>
      </c>
      <c r="J14">
        <v>647.6</v>
      </c>
      <c r="K14">
        <v>684</v>
      </c>
      <c r="L14">
        <v>151.9</v>
      </c>
      <c r="M14">
        <v>425.8</v>
      </c>
      <c r="N14">
        <v>852.7</v>
      </c>
      <c r="O14">
        <v>66</v>
      </c>
    </row>
    <row r="15" spans="1:15" x14ac:dyDescent="0.25">
      <c r="A15">
        <v>2014</v>
      </c>
      <c r="B15" t="s">
        <v>85</v>
      </c>
      <c r="C15" t="s">
        <v>86</v>
      </c>
      <c r="D15">
        <v>37.799999999999997</v>
      </c>
      <c r="E15">
        <v>213.3</v>
      </c>
      <c r="F15">
        <v>24.9</v>
      </c>
      <c r="G15">
        <v>1.8</v>
      </c>
      <c r="H15">
        <v>277.8</v>
      </c>
      <c r="I15" t="s">
        <v>11</v>
      </c>
      <c r="J15">
        <v>662.9</v>
      </c>
      <c r="K15">
        <v>685.9</v>
      </c>
      <c r="L15">
        <v>79.099999999999994</v>
      </c>
      <c r="M15">
        <v>197.4</v>
      </c>
      <c r="N15">
        <v>787.9</v>
      </c>
      <c r="O15">
        <v>277.8</v>
      </c>
    </row>
    <row r="16" spans="1:15" x14ac:dyDescent="0.25">
      <c r="A16">
        <v>2017</v>
      </c>
      <c r="B16" t="s">
        <v>87</v>
      </c>
      <c r="C16" t="s">
        <v>88</v>
      </c>
      <c r="D16">
        <v>236.3</v>
      </c>
      <c r="E16">
        <v>207.7</v>
      </c>
      <c r="F16">
        <v>111.3</v>
      </c>
      <c r="G16">
        <v>147</v>
      </c>
      <c r="H16">
        <v>702.4</v>
      </c>
      <c r="I16" t="s">
        <v>11</v>
      </c>
      <c r="J16">
        <v>660.6</v>
      </c>
      <c r="K16">
        <v>707</v>
      </c>
      <c r="L16">
        <v>146.9</v>
      </c>
      <c r="M16">
        <v>196.4</v>
      </c>
      <c r="N16">
        <v>742</v>
      </c>
      <c r="O16">
        <v>701.2</v>
      </c>
    </row>
    <row r="17" spans="1:15" x14ac:dyDescent="0.25">
      <c r="A17">
        <v>2020</v>
      </c>
      <c r="B17" t="s">
        <v>89</v>
      </c>
      <c r="C17" t="s">
        <v>90</v>
      </c>
      <c r="D17">
        <v>15.7</v>
      </c>
      <c r="E17">
        <v>124.2</v>
      </c>
      <c r="F17">
        <v>162.30000000000001</v>
      </c>
      <c r="G17">
        <v>326</v>
      </c>
      <c r="H17">
        <v>628.29999999999995</v>
      </c>
      <c r="I17" t="s">
        <v>11</v>
      </c>
      <c r="J17">
        <v>632.20000000000005</v>
      </c>
      <c r="K17">
        <v>691.7</v>
      </c>
      <c r="L17">
        <v>167.4</v>
      </c>
      <c r="M17">
        <v>187.7</v>
      </c>
      <c r="N17">
        <v>837.8</v>
      </c>
      <c r="O17">
        <v>628.29999999999995</v>
      </c>
    </row>
    <row r="18" spans="1:15" x14ac:dyDescent="0.25">
      <c r="A18">
        <v>2020</v>
      </c>
      <c r="B18" t="s">
        <v>91</v>
      </c>
      <c r="C18" t="s">
        <v>92</v>
      </c>
      <c r="D18">
        <v>10.1</v>
      </c>
      <c r="E18">
        <v>52.2</v>
      </c>
      <c r="F18">
        <v>48.7</v>
      </c>
      <c r="G18">
        <v>110.2</v>
      </c>
      <c r="H18">
        <v>221.2</v>
      </c>
      <c r="I18" t="s">
        <v>11</v>
      </c>
      <c r="J18">
        <v>679.9</v>
      </c>
      <c r="K18">
        <v>721.3</v>
      </c>
      <c r="L18">
        <v>94.8</v>
      </c>
      <c r="M18">
        <v>548.20000000000005</v>
      </c>
      <c r="N18">
        <v>851.1</v>
      </c>
      <c r="O18">
        <v>221.2</v>
      </c>
    </row>
    <row r="19" spans="1:15" x14ac:dyDescent="0.25">
      <c r="A19">
        <v>2020</v>
      </c>
      <c r="B19" t="s">
        <v>34</v>
      </c>
      <c r="C19" t="s">
        <v>35</v>
      </c>
      <c r="D19">
        <v>249.2</v>
      </c>
      <c r="E19">
        <v>635.4</v>
      </c>
      <c r="F19">
        <v>279.5</v>
      </c>
      <c r="G19">
        <v>278.3</v>
      </c>
      <c r="H19">
        <v>1442.5</v>
      </c>
      <c r="I19" t="s">
        <v>11</v>
      </c>
      <c r="J19">
        <v>638</v>
      </c>
      <c r="K19">
        <v>634.79999999999995</v>
      </c>
      <c r="L19">
        <v>100.2</v>
      </c>
      <c r="M19">
        <v>324.3</v>
      </c>
      <c r="N19">
        <v>855.6</v>
      </c>
      <c r="O19">
        <v>1442.5</v>
      </c>
    </row>
    <row r="20" spans="1:15" x14ac:dyDescent="0.25">
      <c r="A20">
        <v>2021</v>
      </c>
      <c r="B20" t="s">
        <v>36</v>
      </c>
      <c r="C20" t="s">
        <v>37</v>
      </c>
      <c r="D20">
        <v>3.4</v>
      </c>
      <c r="E20">
        <v>23.4</v>
      </c>
      <c r="F20">
        <v>16.2</v>
      </c>
      <c r="G20">
        <v>1</v>
      </c>
      <c r="H20">
        <v>43.9</v>
      </c>
      <c r="I20" t="s">
        <v>11</v>
      </c>
      <c r="J20">
        <v>632.20000000000005</v>
      </c>
      <c r="K20">
        <v>643.6</v>
      </c>
      <c r="L20">
        <v>59.7</v>
      </c>
      <c r="M20">
        <v>480.4</v>
      </c>
      <c r="N20">
        <v>712.2</v>
      </c>
      <c r="O20">
        <v>43.9</v>
      </c>
    </row>
    <row r="25" spans="1:15" x14ac:dyDescent="0.25">
      <c r="A25">
        <v>2008</v>
      </c>
      <c r="B25" t="s">
        <v>40</v>
      </c>
      <c r="C25" t="s">
        <v>41</v>
      </c>
      <c r="D25">
        <v>54.4</v>
      </c>
      <c r="E25">
        <v>374.2</v>
      </c>
      <c r="F25">
        <v>243.2</v>
      </c>
      <c r="G25">
        <v>56.1</v>
      </c>
      <c r="H25">
        <v>727.9</v>
      </c>
      <c r="I25" t="s">
        <v>42</v>
      </c>
      <c r="J25">
        <v>424.9</v>
      </c>
      <c r="K25">
        <v>422.2</v>
      </c>
      <c r="L25">
        <v>114.8</v>
      </c>
      <c r="M25">
        <v>216.9</v>
      </c>
      <c r="N25">
        <v>801.2</v>
      </c>
      <c r="O25">
        <v>718.7</v>
      </c>
    </row>
    <row r="26" spans="1:15" x14ac:dyDescent="0.25">
      <c r="A26">
        <v>2008</v>
      </c>
      <c r="B26" t="s">
        <v>14</v>
      </c>
      <c r="C26" t="s">
        <v>15</v>
      </c>
      <c r="D26">
        <v>4.9000000000000004</v>
      </c>
      <c r="E26">
        <v>24.4</v>
      </c>
      <c r="F26">
        <v>16.2</v>
      </c>
      <c r="G26">
        <v>17.600000000000001</v>
      </c>
      <c r="H26">
        <v>63.1</v>
      </c>
      <c r="I26" t="s">
        <v>42</v>
      </c>
      <c r="J26">
        <v>560.79999999999995</v>
      </c>
      <c r="K26">
        <v>501.5</v>
      </c>
      <c r="L26">
        <v>156.80000000000001</v>
      </c>
      <c r="M26">
        <v>182.5</v>
      </c>
      <c r="N26">
        <v>824.4</v>
      </c>
      <c r="O26">
        <v>58.5</v>
      </c>
    </row>
    <row r="27" spans="1:15" x14ac:dyDescent="0.25">
      <c r="A27">
        <v>2008</v>
      </c>
      <c r="B27" t="s">
        <v>18</v>
      </c>
      <c r="C27" t="s">
        <v>19</v>
      </c>
      <c r="D27">
        <v>170.7</v>
      </c>
      <c r="E27">
        <v>296.89999999999998</v>
      </c>
      <c r="F27">
        <v>169</v>
      </c>
      <c r="G27">
        <v>155.4</v>
      </c>
      <c r="H27">
        <v>792</v>
      </c>
      <c r="I27" t="s">
        <v>42</v>
      </c>
      <c r="J27">
        <v>567.4</v>
      </c>
      <c r="K27">
        <v>571.6</v>
      </c>
      <c r="L27">
        <v>104.7</v>
      </c>
      <c r="M27">
        <v>319.10000000000002</v>
      </c>
      <c r="N27">
        <v>764.8</v>
      </c>
      <c r="O27">
        <v>790.7</v>
      </c>
    </row>
    <row r="28" spans="1:15" x14ac:dyDescent="0.25">
      <c r="A28">
        <v>2009</v>
      </c>
      <c r="B28" t="s">
        <v>20</v>
      </c>
      <c r="C28" t="s">
        <v>21</v>
      </c>
      <c r="D28">
        <v>8.8000000000000007</v>
      </c>
      <c r="E28">
        <v>43.2</v>
      </c>
      <c r="F28">
        <v>10.4</v>
      </c>
      <c r="G28">
        <v>1</v>
      </c>
      <c r="H28">
        <v>63.4</v>
      </c>
      <c r="I28" t="s">
        <v>42</v>
      </c>
      <c r="J28">
        <v>574</v>
      </c>
      <c r="K28">
        <v>650.29999999999995</v>
      </c>
      <c r="L28">
        <v>103.7</v>
      </c>
      <c r="M28">
        <v>440.5</v>
      </c>
      <c r="N28">
        <v>672.1</v>
      </c>
      <c r="O28">
        <v>63.4</v>
      </c>
    </row>
    <row r="29" spans="1:15" x14ac:dyDescent="0.25">
      <c r="A29">
        <v>2013</v>
      </c>
      <c r="B29" t="s">
        <v>43</v>
      </c>
      <c r="C29" t="s">
        <v>44</v>
      </c>
      <c r="D29">
        <v>1.4</v>
      </c>
      <c r="E29">
        <v>48.3</v>
      </c>
      <c r="F29">
        <v>30.5</v>
      </c>
      <c r="G29">
        <v>9.5</v>
      </c>
      <c r="H29">
        <v>89.6</v>
      </c>
      <c r="I29" t="s">
        <v>42</v>
      </c>
      <c r="J29">
        <v>416.8</v>
      </c>
      <c r="K29">
        <v>427.5</v>
      </c>
      <c r="L29">
        <v>83.3</v>
      </c>
      <c r="M29">
        <v>284</v>
      </c>
      <c r="N29">
        <v>587.20000000000005</v>
      </c>
      <c r="O29">
        <v>89.6</v>
      </c>
    </row>
    <row r="30" spans="1:15" x14ac:dyDescent="0.25">
      <c r="A30">
        <v>2016</v>
      </c>
      <c r="B30" t="s">
        <v>22</v>
      </c>
      <c r="C30" t="s">
        <v>23</v>
      </c>
      <c r="D30">
        <v>1.5</v>
      </c>
      <c r="E30">
        <v>11.9</v>
      </c>
      <c r="F30">
        <v>21.5</v>
      </c>
      <c r="G30">
        <v>21.7</v>
      </c>
      <c r="H30">
        <v>56.6</v>
      </c>
      <c r="I30" t="s">
        <v>42</v>
      </c>
      <c r="J30">
        <v>522.6</v>
      </c>
      <c r="K30">
        <v>567.6</v>
      </c>
      <c r="L30">
        <v>101.2</v>
      </c>
      <c r="M30">
        <v>413.9</v>
      </c>
      <c r="N30">
        <v>751.9</v>
      </c>
      <c r="O30">
        <v>56.6</v>
      </c>
    </row>
    <row r="31" spans="1:15" x14ac:dyDescent="0.25">
      <c r="A31">
        <v>2016</v>
      </c>
      <c r="B31" t="s">
        <v>45</v>
      </c>
      <c r="C31" t="s">
        <v>46</v>
      </c>
      <c r="D31">
        <v>239.7</v>
      </c>
      <c r="E31">
        <v>700.6</v>
      </c>
      <c r="F31">
        <v>404.2</v>
      </c>
      <c r="G31">
        <v>165.5</v>
      </c>
      <c r="H31">
        <v>1510</v>
      </c>
      <c r="I31" t="s">
        <v>42</v>
      </c>
      <c r="J31">
        <v>422.3</v>
      </c>
      <c r="K31">
        <v>408.7</v>
      </c>
      <c r="L31">
        <v>91.3</v>
      </c>
      <c r="M31">
        <v>230.7</v>
      </c>
      <c r="N31">
        <v>801.2</v>
      </c>
      <c r="O31">
        <v>1502.8</v>
      </c>
    </row>
    <row r="32" spans="1:15" x14ac:dyDescent="0.25">
      <c r="A32">
        <v>2017</v>
      </c>
      <c r="B32" t="s">
        <v>24</v>
      </c>
      <c r="C32" t="s">
        <v>25</v>
      </c>
      <c r="D32">
        <v>13.1</v>
      </c>
      <c r="E32">
        <v>67.900000000000006</v>
      </c>
      <c r="F32">
        <v>42.4</v>
      </c>
      <c r="G32">
        <v>2.8</v>
      </c>
      <c r="H32">
        <v>126.1</v>
      </c>
      <c r="I32" t="s">
        <v>42</v>
      </c>
      <c r="J32">
        <v>538.5</v>
      </c>
      <c r="K32">
        <v>544.20000000000005</v>
      </c>
      <c r="L32">
        <v>42</v>
      </c>
      <c r="M32">
        <v>412.4</v>
      </c>
      <c r="N32">
        <v>614.5</v>
      </c>
      <c r="O32">
        <v>126.1</v>
      </c>
    </row>
    <row r="33" spans="1:15" x14ac:dyDescent="0.25">
      <c r="A33">
        <v>2017</v>
      </c>
      <c r="B33" t="s">
        <v>26</v>
      </c>
      <c r="C33" t="s">
        <v>27</v>
      </c>
      <c r="D33">
        <v>125.3</v>
      </c>
      <c r="E33">
        <v>324.60000000000002</v>
      </c>
      <c r="F33">
        <v>99.3</v>
      </c>
      <c r="G33">
        <v>58.1</v>
      </c>
      <c r="H33">
        <v>607.4</v>
      </c>
      <c r="I33" t="s">
        <v>42</v>
      </c>
      <c r="J33">
        <v>621.6</v>
      </c>
      <c r="K33">
        <v>677.2</v>
      </c>
      <c r="L33">
        <v>147.5</v>
      </c>
      <c r="M33">
        <v>269.3</v>
      </c>
      <c r="N33">
        <v>848.7</v>
      </c>
      <c r="O33">
        <v>607.4</v>
      </c>
    </row>
    <row r="34" spans="1:15" x14ac:dyDescent="0.25">
      <c r="A34">
        <v>2017</v>
      </c>
      <c r="B34" t="s">
        <v>28</v>
      </c>
      <c r="C34" t="s">
        <v>29</v>
      </c>
      <c r="D34">
        <v>8.1</v>
      </c>
      <c r="E34">
        <v>38.799999999999997</v>
      </c>
      <c r="F34">
        <v>69.5</v>
      </c>
      <c r="G34">
        <v>73.599999999999994</v>
      </c>
      <c r="H34">
        <v>190.1</v>
      </c>
      <c r="I34" t="s">
        <v>42</v>
      </c>
      <c r="J34">
        <v>602.79999999999995</v>
      </c>
      <c r="K34">
        <v>585</v>
      </c>
      <c r="L34">
        <v>161.30000000000001</v>
      </c>
      <c r="M34">
        <v>0</v>
      </c>
      <c r="N34">
        <v>860.5</v>
      </c>
      <c r="O34">
        <v>188.8</v>
      </c>
    </row>
    <row r="35" spans="1:15" x14ac:dyDescent="0.25">
      <c r="A35">
        <v>2019</v>
      </c>
      <c r="B35" t="s">
        <v>30</v>
      </c>
      <c r="C35" t="s">
        <v>31</v>
      </c>
      <c r="D35">
        <v>16.2</v>
      </c>
      <c r="E35">
        <v>23.7</v>
      </c>
      <c r="F35">
        <v>9.6999999999999993</v>
      </c>
      <c r="G35">
        <v>5.4</v>
      </c>
      <c r="H35">
        <v>54.9</v>
      </c>
      <c r="I35" t="s">
        <v>42</v>
      </c>
      <c r="J35">
        <v>558.20000000000005</v>
      </c>
      <c r="K35">
        <v>659.7</v>
      </c>
      <c r="L35">
        <v>191.5</v>
      </c>
      <c r="M35">
        <v>0</v>
      </c>
      <c r="N35">
        <v>826.7</v>
      </c>
      <c r="O35">
        <v>54.9</v>
      </c>
    </row>
    <row r="36" spans="1:15" x14ac:dyDescent="0.25">
      <c r="A36">
        <v>2020</v>
      </c>
      <c r="B36" t="s">
        <v>32</v>
      </c>
      <c r="C36" t="s">
        <v>33</v>
      </c>
      <c r="D36">
        <v>1200</v>
      </c>
      <c r="E36">
        <v>7130</v>
      </c>
      <c r="F36">
        <v>4536.7</v>
      </c>
      <c r="G36">
        <v>9091.2000000000007</v>
      </c>
      <c r="H36">
        <v>21957.9</v>
      </c>
      <c r="I36" t="s">
        <v>42</v>
      </c>
      <c r="J36">
        <v>588.4</v>
      </c>
      <c r="K36">
        <v>595.9</v>
      </c>
      <c r="L36">
        <v>103.7</v>
      </c>
      <c r="M36">
        <v>73.5</v>
      </c>
      <c r="N36">
        <v>847.6</v>
      </c>
      <c r="O36">
        <v>21819.3</v>
      </c>
    </row>
    <row r="37" spans="1:15" x14ac:dyDescent="0.25">
      <c r="A37">
        <v>2023</v>
      </c>
      <c r="B37" t="s">
        <v>38</v>
      </c>
      <c r="C37" t="s">
        <v>39</v>
      </c>
      <c r="D37">
        <v>98.2</v>
      </c>
      <c r="E37">
        <v>162.4</v>
      </c>
      <c r="F37">
        <v>27.9</v>
      </c>
      <c r="G37">
        <v>3.4</v>
      </c>
      <c r="H37">
        <v>291.89999999999998</v>
      </c>
      <c r="I37" t="s">
        <v>42</v>
      </c>
      <c r="J37">
        <v>623.70000000000005</v>
      </c>
      <c r="K37">
        <v>623.4</v>
      </c>
      <c r="L37">
        <v>8.4</v>
      </c>
      <c r="M37">
        <v>606.4</v>
      </c>
      <c r="N37">
        <v>652.5</v>
      </c>
      <c r="O37">
        <v>291.89999999999998</v>
      </c>
    </row>
    <row r="42" spans="1:15" x14ac:dyDescent="0.25">
      <c r="A42">
        <v>2008</v>
      </c>
      <c r="B42" t="s">
        <v>58</v>
      </c>
      <c r="C42" t="s">
        <v>59</v>
      </c>
      <c r="D42">
        <v>36.200000000000003</v>
      </c>
      <c r="E42">
        <v>133.80000000000001</v>
      </c>
      <c r="F42">
        <v>52.8</v>
      </c>
      <c r="G42">
        <v>8</v>
      </c>
      <c r="H42">
        <v>230.9</v>
      </c>
      <c r="I42" t="s">
        <v>49</v>
      </c>
      <c r="J42">
        <v>728</v>
      </c>
      <c r="K42">
        <v>738.3</v>
      </c>
      <c r="L42">
        <v>39.799999999999997</v>
      </c>
      <c r="M42">
        <v>537.79999999999995</v>
      </c>
      <c r="N42">
        <v>750.7</v>
      </c>
      <c r="O42">
        <v>230.9</v>
      </c>
    </row>
    <row r="43" spans="1:15" x14ac:dyDescent="0.25">
      <c r="A43">
        <v>2008</v>
      </c>
      <c r="B43" t="s">
        <v>60</v>
      </c>
      <c r="C43" t="s">
        <v>61</v>
      </c>
      <c r="D43">
        <v>639.6</v>
      </c>
      <c r="E43">
        <v>179.4</v>
      </c>
      <c r="F43">
        <v>18.600000000000001</v>
      </c>
      <c r="G43">
        <v>8.1999999999999993</v>
      </c>
      <c r="H43">
        <v>845.8</v>
      </c>
      <c r="I43" t="s">
        <v>49</v>
      </c>
      <c r="J43">
        <v>743</v>
      </c>
      <c r="K43">
        <v>741.7</v>
      </c>
      <c r="L43">
        <v>13.5</v>
      </c>
      <c r="M43">
        <v>714.3</v>
      </c>
      <c r="N43">
        <v>774.4</v>
      </c>
      <c r="O43">
        <v>845.8</v>
      </c>
    </row>
    <row r="44" spans="1:15" x14ac:dyDescent="0.25">
      <c r="A44">
        <v>2008</v>
      </c>
      <c r="B44" t="s">
        <v>62</v>
      </c>
      <c r="C44" t="s">
        <v>63</v>
      </c>
      <c r="D44">
        <v>31.5</v>
      </c>
      <c r="E44">
        <v>102.6</v>
      </c>
      <c r="F44">
        <v>5.6</v>
      </c>
      <c r="G44">
        <v>0.6</v>
      </c>
      <c r="H44">
        <v>140.4</v>
      </c>
      <c r="I44" t="s">
        <v>49</v>
      </c>
      <c r="J44">
        <v>754</v>
      </c>
      <c r="K44">
        <v>745.3</v>
      </c>
      <c r="L44">
        <v>59.1</v>
      </c>
      <c r="M44">
        <v>632.1</v>
      </c>
      <c r="N44">
        <v>840.4</v>
      </c>
      <c r="O44">
        <v>140.4</v>
      </c>
    </row>
    <row r="45" spans="1:15" x14ac:dyDescent="0.25">
      <c r="A45">
        <v>2008</v>
      </c>
      <c r="B45" t="s">
        <v>64</v>
      </c>
      <c r="C45" t="s">
        <v>65</v>
      </c>
      <c r="D45">
        <v>49.5</v>
      </c>
      <c r="E45">
        <v>73.8</v>
      </c>
      <c r="F45">
        <v>9</v>
      </c>
      <c r="G45">
        <v>0</v>
      </c>
      <c r="H45">
        <v>132.19999999999999</v>
      </c>
      <c r="I45" t="s">
        <v>49</v>
      </c>
      <c r="J45">
        <v>723.9</v>
      </c>
      <c r="K45">
        <v>728.5</v>
      </c>
      <c r="L45">
        <v>17.399999999999999</v>
      </c>
      <c r="M45">
        <v>688.2</v>
      </c>
      <c r="N45">
        <v>752.8</v>
      </c>
      <c r="O45">
        <v>132.19999999999999</v>
      </c>
    </row>
    <row r="46" spans="1:15" x14ac:dyDescent="0.25">
      <c r="A46">
        <v>2008</v>
      </c>
      <c r="B46" t="s">
        <v>66</v>
      </c>
      <c r="C46" t="s">
        <v>67</v>
      </c>
      <c r="D46">
        <v>105.7</v>
      </c>
      <c r="E46">
        <v>50.5</v>
      </c>
      <c r="F46">
        <v>23.1</v>
      </c>
      <c r="G46">
        <v>15</v>
      </c>
      <c r="H46">
        <v>194.3</v>
      </c>
      <c r="I46" t="s">
        <v>49</v>
      </c>
      <c r="J46">
        <v>723.5</v>
      </c>
      <c r="K46">
        <v>718.1</v>
      </c>
      <c r="L46">
        <v>44.9</v>
      </c>
      <c r="M46">
        <v>566.4</v>
      </c>
      <c r="N46">
        <v>802.5</v>
      </c>
      <c r="O46">
        <v>194.3</v>
      </c>
    </row>
    <row r="47" spans="1:15" x14ac:dyDescent="0.25">
      <c r="A47">
        <v>2008</v>
      </c>
      <c r="B47" t="s">
        <v>72</v>
      </c>
      <c r="C47" t="s">
        <v>73</v>
      </c>
      <c r="D47">
        <v>97.1</v>
      </c>
      <c r="E47">
        <v>409.4</v>
      </c>
      <c r="F47">
        <v>163.80000000000001</v>
      </c>
      <c r="G47">
        <v>18.100000000000001</v>
      </c>
      <c r="H47">
        <v>688.3</v>
      </c>
      <c r="I47" t="s">
        <v>49</v>
      </c>
      <c r="J47">
        <v>727.4</v>
      </c>
      <c r="K47">
        <v>742.6</v>
      </c>
      <c r="L47">
        <v>42.2</v>
      </c>
      <c r="M47">
        <v>555.4</v>
      </c>
      <c r="N47">
        <v>799.2</v>
      </c>
      <c r="O47">
        <v>688.3</v>
      </c>
    </row>
    <row r="48" spans="1:15" x14ac:dyDescent="0.25">
      <c r="A48">
        <v>2008</v>
      </c>
      <c r="B48" t="s">
        <v>78</v>
      </c>
      <c r="C48" t="s">
        <v>79</v>
      </c>
      <c r="D48">
        <v>10</v>
      </c>
      <c r="E48">
        <v>28.2</v>
      </c>
      <c r="F48">
        <v>17</v>
      </c>
      <c r="G48">
        <v>3.4</v>
      </c>
      <c r="H48">
        <v>58.6</v>
      </c>
      <c r="I48" t="s">
        <v>49</v>
      </c>
      <c r="J48">
        <v>728.5</v>
      </c>
      <c r="K48">
        <v>727.4</v>
      </c>
      <c r="L48">
        <v>15</v>
      </c>
      <c r="M48">
        <v>706.9</v>
      </c>
      <c r="N48">
        <v>770.7</v>
      </c>
      <c r="O48">
        <v>58.6</v>
      </c>
    </row>
    <row r="49" spans="1:15" x14ac:dyDescent="0.25">
      <c r="A49">
        <v>2008</v>
      </c>
      <c r="B49" t="s">
        <v>80</v>
      </c>
      <c r="C49" t="s">
        <v>81</v>
      </c>
      <c r="D49">
        <v>19.899999999999999</v>
      </c>
      <c r="E49">
        <v>90.5</v>
      </c>
      <c r="F49">
        <v>19.100000000000001</v>
      </c>
      <c r="G49">
        <v>3.1</v>
      </c>
      <c r="H49">
        <v>132.69999999999999</v>
      </c>
      <c r="I49" t="s">
        <v>49</v>
      </c>
      <c r="J49">
        <v>725.7</v>
      </c>
      <c r="K49">
        <v>733</v>
      </c>
      <c r="L49">
        <v>49.4</v>
      </c>
      <c r="M49">
        <v>564</v>
      </c>
      <c r="N49">
        <v>835.9</v>
      </c>
      <c r="O49">
        <v>132.69999999999999</v>
      </c>
    </row>
    <row r="50" spans="1:15" x14ac:dyDescent="0.25">
      <c r="A50">
        <v>2012</v>
      </c>
      <c r="B50" t="s">
        <v>83</v>
      </c>
      <c r="C50" t="s">
        <v>84</v>
      </c>
      <c r="D50">
        <v>2.5</v>
      </c>
      <c r="E50">
        <v>13.5</v>
      </c>
      <c r="F50">
        <v>21.1</v>
      </c>
      <c r="G50">
        <v>20</v>
      </c>
      <c r="H50">
        <v>57.1</v>
      </c>
      <c r="I50" t="s">
        <v>49</v>
      </c>
      <c r="J50">
        <v>718.8</v>
      </c>
      <c r="K50">
        <v>747.2</v>
      </c>
      <c r="L50">
        <v>81.2</v>
      </c>
      <c r="M50">
        <v>525</v>
      </c>
      <c r="N50">
        <v>799.9</v>
      </c>
      <c r="O50">
        <v>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jenks</vt:lpstr>
      <vt:lpstr>quantiles</vt:lpstr>
      <vt:lpstr>3rd-tiles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Shive</dc:creator>
  <cp:lastModifiedBy>Kristen Shive</cp:lastModifiedBy>
  <dcterms:created xsi:type="dcterms:W3CDTF">2026-02-04T17:06:23Z</dcterms:created>
  <dcterms:modified xsi:type="dcterms:W3CDTF">2026-02-27T20:20:53Z</dcterms:modified>
</cp:coreProperties>
</file>